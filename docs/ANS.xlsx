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logis-my.sharepoint.com/personal/ymunoz_grupologis_co1/Documents/Optimización/portal-induccion-logis/docs/"/>
    </mc:Choice>
  </mc:AlternateContent>
  <xr:revisionPtr revIDLastSave="14" documentId="13_ncr:1_{2E7CC92B-4744-4CAF-B1C7-633582B935B1}" xr6:coauthVersionLast="47" xr6:coauthVersionMax="47" xr10:uidLastSave="{2772AF20-2C6F-4A87-8624-3E1CF65AECBC}"/>
  <bookViews>
    <workbookView xWindow="-120" yWindow="-120" windowWidth="20730" windowHeight="11160" xr2:uid="{55DACA74-D25B-436A-92D8-3C5E5D151129}"/>
  </bookViews>
  <sheets>
    <sheet name="Hoja1" sheetId="1" r:id="rId1"/>
  </sheets>
  <definedNames>
    <definedName name="_xlnm._FilterDatabase" localSheetId="0" hidden="1">Hoja1!$A$1:$W$1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" i="1" l="1"/>
  <c r="E120" i="1"/>
  <c r="G119" i="1"/>
  <c r="E119" i="1"/>
  <c r="G118" i="1"/>
  <c r="E118" i="1"/>
  <c r="G117" i="1"/>
  <c r="E117" i="1"/>
  <c r="G116" i="1"/>
  <c r="E116" i="1"/>
  <c r="G115" i="1"/>
  <c r="E115" i="1"/>
  <c r="G114" i="1"/>
  <c r="E114" i="1"/>
  <c r="G113" i="1"/>
  <c r="E113" i="1"/>
  <c r="G112" i="1"/>
  <c r="E112" i="1"/>
  <c r="G111" i="1"/>
  <c r="E111" i="1"/>
  <c r="G110" i="1"/>
  <c r="E110" i="1"/>
  <c r="G109" i="1"/>
  <c r="E109" i="1"/>
  <c r="G108" i="1"/>
  <c r="E108" i="1"/>
  <c r="G106" i="1"/>
  <c r="E106" i="1"/>
  <c r="G105" i="1"/>
  <c r="E105" i="1"/>
  <c r="G104" i="1"/>
  <c r="E104" i="1"/>
  <c r="G103" i="1"/>
  <c r="E103" i="1"/>
  <c r="G102" i="1"/>
  <c r="E102" i="1"/>
  <c r="G101" i="1"/>
  <c r="E101" i="1"/>
  <c r="G100" i="1"/>
  <c r="E100" i="1"/>
  <c r="G99" i="1"/>
  <c r="E99" i="1"/>
  <c r="G98" i="1"/>
  <c r="E98" i="1"/>
  <c r="G97" i="1"/>
  <c r="E97" i="1"/>
  <c r="G96" i="1"/>
  <c r="E96" i="1"/>
  <c r="G95" i="1"/>
  <c r="E95" i="1"/>
  <c r="G94" i="1"/>
  <c r="E94" i="1"/>
  <c r="G93" i="1"/>
  <c r="E93" i="1"/>
  <c r="G92" i="1"/>
  <c r="E92" i="1"/>
  <c r="G91" i="1"/>
  <c r="E91" i="1"/>
  <c r="G90" i="1"/>
  <c r="E90" i="1"/>
  <c r="G89" i="1"/>
  <c r="E89" i="1"/>
  <c r="G88" i="1"/>
  <c r="E88" i="1"/>
  <c r="G86" i="1"/>
  <c r="E86" i="1"/>
  <c r="G85" i="1"/>
  <c r="E85" i="1"/>
  <c r="G84" i="1"/>
  <c r="E84" i="1"/>
  <c r="G83" i="1"/>
  <c r="E83" i="1"/>
  <c r="G82" i="1"/>
  <c r="E82" i="1"/>
  <c r="G81" i="1"/>
  <c r="E81" i="1"/>
  <c r="G80" i="1"/>
  <c r="E80" i="1"/>
  <c r="G79" i="1"/>
  <c r="E79" i="1"/>
  <c r="G78" i="1"/>
  <c r="E78" i="1"/>
  <c r="G77" i="1"/>
  <c r="E77" i="1"/>
  <c r="G76" i="1"/>
  <c r="E76" i="1"/>
  <c r="G75" i="1"/>
  <c r="E75" i="1"/>
  <c r="G74" i="1"/>
  <c r="E74" i="1"/>
  <c r="G73" i="1"/>
  <c r="E73" i="1"/>
  <c r="G72" i="1"/>
  <c r="E72" i="1"/>
  <c r="G71" i="1"/>
  <c r="E71" i="1"/>
  <c r="G70" i="1"/>
  <c r="E70" i="1"/>
  <c r="G69" i="1"/>
  <c r="E69" i="1"/>
  <c r="G68" i="1"/>
  <c r="E68" i="1"/>
  <c r="G67" i="1"/>
  <c r="E67" i="1"/>
  <c r="G66" i="1"/>
  <c r="E66" i="1"/>
  <c r="G65" i="1"/>
  <c r="E65" i="1"/>
  <c r="G64" i="1"/>
  <c r="E64" i="1"/>
  <c r="G63" i="1"/>
  <c r="E63" i="1"/>
  <c r="G62" i="1"/>
  <c r="E62" i="1"/>
  <c r="G61" i="1"/>
  <c r="E61" i="1"/>
  <c r="G60" i="1"/>
  <c r="E60" i="1"/>
  <c r="G59" i="1"/>
  <c r="E59" i="1"/>
  <c r="G58" i="1"/>
  <c r="E58" i="1"/>
  <c r="G57" i="1"/>
  <c r="E57" i="1"/>
  <c r="G56" i="1"/>
  <c r="E56" i="1"/>
  <c r="G55" i="1"/>
  <c r="E55" i="1"/>
  <c r="G54" i="1"/>
  <c r="E54" i="1"/>
  <c r="G53" i="1"/>
  <c r="E53" i="1"/>
  <c r="G52" i="1"/>
  <c r="E52" i="1"/>
  <c r="G51" i="1"/>
  <c r="E51" i="1"/>
  <c r="G50" i="1"/>
  <c r="E50" i="1"/>
  <c r="G49" i="1"/>
  <c r="E49" i="1"/>
  <c r="G48" i="1"/>
  <c r="E48" i="1"/>
  <c r="G47" i="1"/>
  <c r="E47" i="1"/>
  <c r="G46" i="1"/>
  <c r="E46" i="1"/>
  <c r="G45" i="1"/>
  <c r="E45" i="1"/>
  <c r="G44" i="1"/>
  <c r="E44" i="1"/>
  <c r="G43" i="1"/>
  <c r="E43" i="1"/>
  <c r="G42" i="1"/>
  <c r="E42" i="1"/>
  <c r="G41" i="1"/>
  <c r="E41" i="1"/>
  <c r="G40" i="1"/>
  <c r="E40" i="1"/>
  <c r="G39" i="1"/>
  <c r="E39" i="1"/>
  <c r="G38" i="1"/>
  <c r="E38" i="1"/>
  <c r="G37" i="1"/>
  <c r="E37" i="1"/>
  <c r="G36" i="1"/>
  <c r="E36" i="1"/>
  <c r="G35" i="1"/>
  <c r="E35" i="1"/>
  <c r="G34" i="1"/>
  <c r="E34" i="1"/>
  <c r="G33" i="1"/>
  <c r="E33" i="1"/>
  <c r="G32" i="1"/>
  <c r="E32" i="1"/>
  <c r="G31" i="1"/>
  <c r="E31" i="1"/>
  <c r="G30" i="1"/>
  <c r="E30" i="1"/>
  <c r="G29" i="1"/>
  <c r="E29" i="1"/>
  <c r="G28" i="1"/>
  <c r="E28" i="1"/>
  <c r="G27" i="1"/>
  <c r="E27" i="1"/>
  <c r="G26" i="1"/>
  <c r="E26" i="1"/>
  <c r="G24" i="1"/>
  <c r="E24" i="1"/>
  <c r="G23" i="1"/>
  <c r="E23" i="1"/>
  <c r="G22" i="1"/>
  <c r="E22" i="1"/>
  <c r="G21" i="1"/>
  <c r="E21" i="1"/>
  <c r="G20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G11" i="1"/>
  <c r="E11" i="1"/>
  <c r="G10" i="1"/>
  <c r="E10" i="1"/>
  <c r="G9" i="1"/>
  <c r="E9" i="1"/>
  <c r="G8" i="1"/>
  <c r="E8" i="1"/>
  <c r="G7" i="1"/>
  <c r="E7" i="1"/>
  <c r="G6" i="1"/>
  <c r="E6" i="1"/>
  <c r="G5" i="1"/>
  <c r="E5" i="1"/>
  <c r="G4" i="1"/>
  <c r="E4" i="1"/>
  <c r="G3" i="1"/>
  <c r="E3" i="1"/>
  <c r="G2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tc={34253276-16D3-42D1-86D8-5267EE93DBBA}</author>
    <author>tc={911F2579-9047-4CC2-98EB-ED748688091F}</author>
    <author>tc={DFCCE8AF-5F2F-4847-9C85-4220DAAE4939}</author>
    <author>tc={85ADA538-9EDF-491E-A3BB-FCB16146715A}</author>
    <author>tc={CF995F62-A855-4E68-97E5-7A5F39F77917}</author>
    <author>tc={4D2177A4-84CF-48DF-B204-6A2CB51E6DF1}</author>
    <author>tc={A6AA93E4-35BD-48C4-93D2-76591683C78A}</author>
    <author>tc={AF592B0C-66C6-4C0D-BED2-3EC01C0E720E}</author>
    <author>tc={16FDDCC1-4DC2-45E1-99F0-792DC4986BD5}</author>
    <author>tc={B8B7BDF4-0143-4013-9732-275531647388}</author>
    <author>tc={3EC23025-D4D8-44E4-9A7F-4E949A6427EC}</author>
    <author>tc={CA8926DE-22FF-463E-8A69-7781D01770D0}</author>
    <author>tc={B182C1CE-D99B-4C49-B427-2A0D349ECDF6}</author>
    <author>tc={6D159ACD-60A8-44E4-A695-E250004ED7DF}</author>
    <author>tc={4D1F441C-55F2-4B19-B2A0-04988F66A38B}</author>
    <author>tc={A55B258A-CEB7-425B-9DB0-5F7A856964EA}</author>
    <author>tc={45FAEC4F-BD7C-4CA4-B6F5-C0057C24AF08}</author>
    <author>tc={F2F397C1-080D-4827-8058-666803957B8D}</author>
    <author>tc={26E80419-0E55-41BB-80F4-68FFDF7CB40C}</author>
    <author>tc={DAB28DFC-7E95-4ABC-8E1D-6F9BC86F9550}</author>
    <author>tc={3585FA65-62CF-4EAC-9168-A33EE969DB30}</author>
  </authors>
  <commentList>
    <comment ref="I1" authorId="0" shapeId="0" xr:uid="{34253276-16D3-42D1-86D8-5267EE93DB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Costo Fijos Variables &gt; Primer cuadro</t>
      </text>
    </comment>
    <comment ref="J1" authorId="1" shapeId="0" xr:uid="{911F2579-9047-4CC2-98EB-ED74868809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Simulación Nomina &gt; Fila 44 &gt; Salario Mes</t>
      </text>
    </comment>
    <comment ref="K1" authorId="2" shapeId="0" xr:uid="{DFCCE8AF-5F2F-4847-9C85-4220DAAE49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Costo Fijos Variables &gt; Primer cuadro</t>
      </text>
    </comment>
    <comment ref="M1" authorId="3" shapeId="0" xr:uid="{85ADA538-9EDF-491E-A3BB-FCB1614671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aplica = No le hacemos exámenes.
Respuesta:
    Política = Todos los exámenes son refacturables</t>
      </text>
    </comment>
    <comment ref="N1" authorId="4" shapeId="0" xr:uid="{CF995F62-A855-4E68-97E5-7A5F39F779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Estandar es los 5 srevicios o 0
Respuesta:
    Estándar, Asumida. Si pide adicional, refacturable</t>
      </text>
    </comment>
    <comment ref="O1" authorId="5" shapeId="0" xr:uid="{4D2177A4-84CF-48DF-B204-6A2CB51E6D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Siso: Alguien con conocimiento es seguridad y salud en el trabajo
In-House: Un administrador: Maneja temas de nómina y atención a colaboradores.
Respuesta:
    Hoja Costos Fijos Variables: Bloque 9.
Y 10
Respuesta:
    Política: Asumidos</t>
      </text>
    </comment>
    <comment ref="P1" authorId="6" shapeId="0" xr:uid="{A6AA93E4-35BD-48C4-93D2-76591683C7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Agregar el costo</t>
      </text>
    </comment>
    <comment ref="Q1" authorId="7" shapeId="0" xr:uid="{AF592B0C-66C6-4C0D-BED2-3EC01C0E720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rc y cum
Respuesta:
    RC: Responsabilidad Civil Extracontractual
CUM: Cumplimiento
Respuesta:
    Costos Fijos y Variables: Bloque 6 </t>
      </text>
    </comment>
    <comment ref="R1" authorId="8" shapeId="0" xr:uid="{16FDDCC1-4DC2-45E1-99F0-792DC4986B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logistica /refac</t>
      </text>
    </comment>
    <comment ref="I79" authorId="9" shapeId="0" xr:uid="{B8B7BDF4-0143-4013-9732-2755316473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Inicialmente</t>
      </text>
    </comment>
    <comment ref="I84" authorId="10" shapeId="0" xr:uid="{3EC23025-D4D8-44E4-9A7F-4E949A6427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Inicialmente</t>
      </text>
    </comment>
    <comment ref="J88" authorId="11" shapeId="0" xr:uid="{CA8926DE-22FF-463E-8A69-7781D01770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IPC +2</t>
      </text>
    </comment>
    <comment ref="J92" authorId="12" shapeId="0" xr:uid="{B182C1CE-D99B-4C49-B427-2A0D349ECD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IPC +2</t>
      </text>
    </comment>
    <comment ref="J93" authorId="13" shapeId="0" xr:uid="{6D159ACD-60A8-44E4-A695-E250004ED7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IPC +2</t>
      </text>
    </comment>
    <comment ref="J100" authorId="14" shapeId="0" xr:uid="{4D1F441C-55F2-4B19-B2A0-04988F66A3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encontró salario en costeo, se coloca el SMLV 2025</t>
      </text>
    </comment>
    <comment ref="J105" authorId="15" shapeId="0" xr:uid="{A55B258A-CEB7-425B-9DB0-5F7A856964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encontró salario en costeo, se coloca el SMLV</t>
      </text>
    </comment>
    <comment ref="I107" authorId="16" shapeId="0" xr:uid="{45FAEC4F-BD7C-4CA4-B6F5-C0057C24AF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Inicialmente</t>
      </text>
    </comment>
    <comment ref="I109" authorId="17" shapeId="0" xr:uid="{F2F397C1-080D-4827-8058-666803957B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Inicialmente</t>
      </text>
    </comment>
    <comment ref="J109" authorId="18" shapeId="0" xr:uid="{26E80419-0E55-41BB-80F4-68FFDF7CB4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encontró el salario en el costeo, se coloca el minino del 2025</t>
      </text>
    </comment>
    <comment ref="J110" authorId="19" shapeId="0" xr:uid="{DAB28DFC-7E95-4ABC-8E1D-6F9BC86F95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IPC +2</t>
      </text>
    </comment>
    <comment ref="I119" authorId="20" shapeId="0" xr:uid="{3585FA65-62CF-4EAC-9168-A33EE969DB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Inicialmente</t>
      </text>
    </comment>
  </commentList>
</comments>
</file>

<file path=xl/sharedStrings.xml><?xml version="1.0" encoding="utf-8"?>
<sst xmlns="http://schemas.openxmlformats.org/spreadsheetml/2006/main" count="1505" uniqueCount="180">
  <si>
    <t>Cliente</t>
  </si>
  <si>
    <t>Director Comercial</t>
  </si>
  <si>
    <t>Fecha Costeo</t>
  </si>
  <si>
    <t>Mes</t>
  </si>
  <si>
    <t>Mes Nombre</t>
  </si>
  <si>
    <t>Año</t>
  </si>
  <si>
    <t>Categoría Tarifa</t>
  </si>
  <si>
    <t>Numero Colaboradores</t>
  </si>
  <si>
    <t>Salario Promedio</t>
  </si>
  <si>
    <t>Periodicidad Pago</t>
  </si>
  <si>
    <t>Plazo Pago</t>
  </si>
  <si>
    <t>Examenes</t>
  </si>
  <si>
    <t>Bienestar</t>
  </si>
  <si>
    <t>Personal De Apoyo</t>
  </si>
  <si>
    <t xml:space="preserve">Equipos y mobiliario </t>
  </si>
  <si>
    <t>Polizas</t>
  </si>
  <si>
    <t>Pago Pólizas</t>
  </si>
  <si>
    <t>Laura Correa</t>
  </si>
  <si>
    <t>Agosto</t>
  </si>
  <si>
    <t>Porcentual</t>
  </si>
  <si>
    <t>Quincenal</t>
  </si>
  <si>
    <t>Refacturable</t>
  </si>
  <si>
    <t>Estandar</t>
  </si>
  <si>
    <t>No se realizan</t>
  </si>
  <si>
    <t>No aplica</t>
  </si>
  <si>
    <t>Ingrid Maria Vargas Gaona</t>
  </si>
  <si>
    <t>Coord. SISO</t>
  </si>
  <si>
    <t>Aplica</t>
  </si>
  <si>
    <t>Julio</t>
  </si>
  <si>
    <t>Harvey Suarez</t>
  </si>
  <si>
    <t>Junio</t>
  </si>
  <si>
    <t>Abril</t>
  </si>
  <si>
    <t>Mayo</t>
  </si>
  <si>
    <t>Paola De Avila</t>
  </si>
  <si>
    <t>Mensual</t>
  </si>
  <si>
    <t>Marzo</t>
  </si>
  <si>
    <t>Enero</t>
  </si>
  <si>
    <t>-</t>
  </si>
  <si>
    <t>Febrero</t>
  </si>
  <si>
    <t>Septiembre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</si>
  <si>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</si>
  <si>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</si>
  <si>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</si>
  <si>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</si>
  <si>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</si>
  <si>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</si>
  <si>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</si>
  <si>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</si>
  <si>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</si>
  <si>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</si>
  <si>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</si>
  <si>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</si>
  <si>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</si>
  <si>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</si>
  <si>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</si>
  <si>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</si>
  <si>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</si>
  <si>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</si>
  <si>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</si>
  <si>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</si>
  <si>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</si>
  <si>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</si>
  <si>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</si>
  <si>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</si>
  <si>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</si>
  <si>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</si>
  <si>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27</t>
  </si>
  <si>
    <t>Cliente 28</t>
  </si>
  <si>
    <t>Cliente 29</t>
  </si>
  <si>
    <t>Cliente 30</t>
  </si>
  <si>
    <t>Cliente 31</t>
  </si>
  <si>
    <t>Cliente 32</t>
  </si>
  <si>
    <t>Cliente 33</t>
  </si>
  <si>
    <t>Cliente 34</t>
  </si>
  <si>
    <t>Cliente 35</t>
  </si>
  <si>
    <t>Cliente 36</t>
  </si>
  <si>
    <t>Cliente 37</t>
  </si>
  <si>
    <t>Cliente 38</t>
  </si>
  <si>
    <t>Cliente 39</t>
  </si>
  <si>
    <t>Cliente 40</t>
  </si>
  <si>
    <t>Cliente 41</t>
  </si>
  <si>
    <t>Cliente 42</t>
  </si>
  <si>
    <t>Cliente 43</t>
  </si>
  <si>
    <t>Cliente 44</t>
  </si>
  <si>
    <t>Cliente 45</t>
  </si>
  <si>
    <t>Cliente 46</t>
  </si>
  <si>
    <t>Cliente 47</t>
  </si>
  <si>
    <t>Cliente 48</t>
  </si>
  <si>
    <t>Cliente 49</t>
  </si>
  <si>
    <t>Cliente 50</t>
  </si>
  <si>
    <t>Cliente 51</t>
  </si>
  <si>
    <t>Cliente 52</t>
  </si>
  <si>
    <t>Cliente 53</t>
  </si>
  <si>
    <t>Cliente 54</t>
  </si>
  <si>
    <t>Cliente 55</t>
  </si>
  <si>
    <t>Cliente 56</t>
  </si>
  <si>
    <t>Cliente 57</t>
  </si>
  <si>
    <t>Cliente 58</t>
  </si>
  <si>
    <t>Cliente 59</t>
  </si>
  <si>
    <t>Cliente 60</t>
  </si>
  <si>
    <t>Cliente 61</t>
  </si>
  <si>
    <t>Cliente 62</t>
  </si>
  <si>
    <t>Cliente 63</t>
  </si>
  <si>
    <t>Cliente 64</t>
  </si>
  <si>
    <t>Cliente 65</t>
  </si>
  <si>
    <t>Cliente 66</t>
  </si>
  <si>
    <t>Cliente 67</t>
  </si>
  <si>
    <t>Cliente 68</t>
  </si>
  <si>
    <t>Cliente 69</t>
  </si>
  <si>
    <t>Cliente 70</t>
  </si>
  <si>
    <t>Cliente 71</t>
  </si>
  <si>
    <t>Cliente 72</t>
  </si>
  <si>
    <t>Cliente 73</t>
  </si>
  <si>
    <t>Cliente 74</t>
  </si>
  <si>
    <t>Cliente 75</t>
  </si>
  <si>
    <t>Cliente 76</t>
  </si>
  <si>
    <t>Cliente 77</t>
  </si>
  <si>
    <t>Cliente 78</t>
  </si>
  <si>
    <t>Cliente 79</t>
  </si>
  <si>
    <t>Cliente 80</t>
  </si>
  <si>
    <t>Cliente 81</t>
  </si>
  <si>
    <t>Cliente 82</t>
  </si>
  <si>
    <t>Cliente 83</t>
  </si>
  <si>
    <t>Cliente 84</t>
  </si>
  <si>
    <t>Cliente 85</t>
  </si>
  <si>
    <t>Cliente 86</t>
  </si>
  <si>
    <t>Cliente 87</t>
  </si>
  <si>
    <t>Cliente 88</t>
  </si>
  <si>
    <t>Cliente 89</t>
  </si>
  <si>
    <t>Cliente 90</t>
  </si>
  <si>
    <t>Cliente 91</t>
  </si>
  <si>
    <t>Cliente 92</t>
  </si>
  <si>
    <t>Cliente 93</t>
  </si>
  <si>
    <t>Cliente 94</t>
  </si>
  <si>
    <t>Cliente 95</t>
  </si>
  <si>
    <t>Cliente 96</t>
  </si>
  <si>
    <t>Cliente 97</t>
  </si>
  <si>
    <t>Cliente 98</t>
  </si>
  <si>
    <t>Cliente 99</t>
  </si>
  <si>
    <t>Cliente 100</t>
  </si>
  <si>
    <t>Cliente 101</t>
  </si>
  <si>
    <t>Cliente 102</t>
  </si>
  <si>
    <t>Cliente 103</t>
  </si>
  <si>
    <t>Cliente 104</t>
  </si>
  <si>
    <t>Cliente 105</t>
  </si>
  <si>
    <t>Cliente 106</t>
  </si>
  <si>
    <t>Cliente 107</t>
  </si>
  <si>
    <t>Cliente 108</t>
  </si>
  <si>
    <t>Cliente 109</t>
  </si>
  <si>
    <t>Cliente 110</t>
  </si>
  <si>
    <t>Cliente 111</t>
  </si>
  <si>
    <t>Cliente 112</t>
  </si>
  <si>
    <t>Cliente 113</t>
  </si>
  <si>
    <t>Cliente 114</t>
  </si>
  <si>
    <t>Cliente 115</t>
  </si>
  <si>
    <t>Cliente 116</t>
  </si>
  <si>
    <t>Cliente 117</t>
  </si>
  <si>
    <t>Cliente 118</t>
  </si>
  <si>
    <t>Cliente 119</t>
  </si>
  <si>
    <t>Cliente 120</t>
  </si>
  <si>
    <t>Cliente 121</t>
  </si>
  <si>
    <t>Cumplimiento</t>
  </si>
  <si>
    <t>Logistica</t>
  </si>
  <si>
    <t>Diciembre</t>
  </si>
  <si>
    <t>Noviembre</t>
  </si>
  <si>
    <t>Gestion</t>
  </si>
  <si>
    <t>Octubre</t>
  </si>
  <si>
    <t>In House</t>
  </si>
  <si>
    <t>Eduin Gonzalez</t>
  </si>
  <si>
    <t>Ingrid - Paola</t>
  </si>
  <si>
    <t>Ingrid Vargas</t>
  </si>
  <si>
    <t>Fija</t>
  </si>
  <si>
    <t xml:space="preserve">Quincenal </t>
  </si>
  <si>
    <t>fija</t>
  </si>
  <si>
    <t>Observaciones especiales de requerimientos de contratación</t>
  </si>
  <si>
    <t>Centros de costos solicitados</t>
  </si>
  <si>
    <t>Categoria de clientes</t>
  </si>
  <si>
    <t>ORO</t>
  </si>
  <si>
    <t>PLATA</t>
  </si>
  <si>
    <t>BRONCE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</si>
</sst>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\ #,##0;[Red]\-&quot;$&quot;\ #,##0"/>
    <numFmt numFmtId="43" formatCode="_-* #,##0.00_-;\-* #,##0.00_-;_-* &quot;-&quot;??_-;_-@_-"/>
    <numFmt numFmtId="164" formatCode="0.0%"/>
    <numFmt numFmtId="165" formatCode="#,##0&quot; días&quot;"/>
    <numFmt numFmtId="166" formatCode="_-* #,##0\ &quot;€&quot;_-;\-* #,##0\ &quot;€&quot;_-;_-* &quot;-&quot;\ &quot;€&quot;_-;_-@_-"/>
    <numFmt numFmtId="167" formatCode="_-* #,##0.00\ &quot;€&quot;_-;\-* #,##0.00\ &quot;€&quot;_-;_-* &quot;-&quot;??\ &quot;€&quot;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Avenir Next LT Pro"/>
      <family val="2"/>
    </font>
    <font>
      <sz val="9"/>
      <color theme="1"/>
      <name val="Avenir Next LT Pro"/>
      <family val="2"/>
    </font>
    <font>
      <sz val="9"/>
      <color rgb="FF000000"/>
      <name val="Avenir Next LT Pro"/>
      <family val="2"/>
    </font>
    <font>
      <sz val="9"/>
      <name val="Avenir Next LT Pro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6" fontId="3" fillId="0" borderId="1" xfId="2" applyNumberFormat="1" applyFont="1" applyFill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6" fontId="4" fillId="0" borderId="1" xfId="0" applyNumberFormat="1" applyFont="1" applyBorder="1" applyAlignment="1">
      <alignment horizontal="center" vertical="center" wrapText="1"/>
    </xf>
    <xf numFmtId="6" fontId="3" fillId="0" borderId="1" xfId="1" applyNumberFormat="1" applyFont="1" applyFill="1" applyBorder="1" applyAlignment="1">
      <alignment horizontal="center" vertical="center"/>
    </xf>
    <xf numFmtId="6" fontId="3" fillId="0" borderId="1" xfId="0" applyNumberFormat="1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6" fontId="4" fillId="5" borderId="1" xfId="0" applyNumberFormat="1" applyFont="1" applyFill="1" applyBorder="1" applyAlignment="1">
      <alignment horizontal="center" vertical="center" wrapText="1"/>
    </xf>
    <xf numFmtId="3" fontId="3" fillId="0" borderId="8" xfId="2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3" fontId="5" fillId="4" borderId="7" xfId="0" applyNumberFormat="1" applyFont="1" applyFill="1" applyBorder="1" applyAlignment="1">
      <alignment horizontal="center" vertical="center"/>
    </xf>
    <xf numFmtId="6" fontId="5" fillId="4" borderId="1" xfId="0" applyNumberFormat="1" applyFont="1" applyFill="1" applyBorder="1" applyAlignment="1">
      <alignment horizontal="center" vertical="center"/>
    </xf>
    <xf numFmtId="6" fontId="5" fillId="4" borderId="7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6" fontId="5" fillId="0" borderId="1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6" fontId="3" fillId="4" borderId="1" xfId="0" applyNumberFormat="1" applyFont="1" applyFill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3" fontId="3" fillId="4" borderId="7" xfId="0" applyNumberFormat="1" applyFont="1" applyFill="1" applyBorder="1" applyAlignment="1">
      <alignment horizontal="center" vertical="center"/>
    </xf>
    <xf numFmtId="6" fontId="3" fillId="4" borderId="7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3" fontId="3" fillId="4" borderId="6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3" fontId="3" fillId="0" borderId="9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 vertical="center"/>
    </xf>
    <xf numFmtId="0" fontId="0" fillId="0" borderId="1" xfId="0" applyBorder="1"/>
  </cellXfs>
  <cellStyles count="5">
    <cellStyle name="Millares 2" xfId="2" xr:uid="{F76E248F-C636-413B-8C75-D9755FEA0AA5}"/>
    <cellStyle name="Moneda [0] 2" xfId="3" xr:uid="{DE2A8367-72F2-4511-94EA-DE73253DD744}"/>
    <cellStyle name="Moneda 2" xfId="4" xr:uid="{E196AA61-83CE-4298-8612-66FCC9388F80}"/>
    <cellStyle name="Normal" xfId="0" builtinId="0"/>
    <cellStyle name="Porcentaje" xfId="1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rgio S" id="{4FCC0666-3E92-4E87-AFE9-2876DB27B41B}" userId="8515ced5bbdeec19" providerId="Windows Live"/>
  <person displayName="Liyines Diazgranados" id="{351579BC-A0AB-4B66-82AE-982A07E32DA3}" userId="S::mercadeo@grupologis.co::8dff6ca9-8138-4f5b-9b57-794eca451991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5-10-03T21:57:18.50" personId="{4FCC0666-3E92-4E87-AFE9-2876DB27B41B}" id="{34253276-16D3-42D1-86D8-5267EE93DBBA}">
    <text>Costo Fijos Variables &gt; Primer cuadro</text>
  </threadedComment>
  <threadedComment ref="J1" dT="2025-10-03T21:54:53.84" personId="{4FCC0666-3E92-4E87-AFE9-2876DB27B41B}" id="{911F2579-9047-4CC2-98EB-ED748688091F}">
    <text>Simulación Nomina &gt; Fila 44 &gt; Salario Mes</text>
  </threadedComment>
  <threadedComment ref="K1" dT="2025-10-03T21:57:18.50" personId="{4FCC0666-3E92-4E87-AFE9-2876DB27B41B}" id="{DFCCE8AF-5F2F-4847-9C85-4220DAAE4939}">
    <text>Costo Fijos Variables &gt; Primer cuadro</text>
  </threadedComment>
  <threadedComment ref="M1" dT="2025-10-03T21:59:56.64" personId="{4FCC0666-3E92-4E87-AFE9-2876DB27B41B}" id="{85ADA538-9EDF-491E-A3BB-FCB16146715A}">
    <text>No aplica = No le hacemos exámenes.</text>
  </threadedComment>
  <threadedComment ref="M1" dT="2025-10-03T22:01:42.25" personId="{4FCC0666-3E92-4E87-AFE9-2876DB27B41B}" id="{6A4E204F-A361-4225-9AB7-4B4B75B0D450}" parentId="{85ADA538-9EDF-491E-A3BB-FCB16146715A}">
    <text>Política = Todos los exámenes son refacturables</text>
  </threadedComment>
  <threadedComment ref="N1" dT="2025-10-03T22:03:32.36" personId="{4FCC0666-3E92-4E87-AFE9-2876DB27B41B}" id="{CF995F62-A855-4E68-97E5-7A5F39F77917}">
    <text>Estandar es los 5 srevicios o 0</text>
  </threadedComment>
  <threadedComment ref="N1" dT="2025-10-03T22:07:17.61" personId="{4FCC0666-3E92-4E87-AFE9-2876DB27B41B}" id="{1998D2EE-2A5D-4605-AE59-578FB6F83A41}" parentId="{CF995F62-A855-4E68-97E5-7A5F39F77917}">
    <text>Estándar, Asumida. Si pide adicional, refacturable</text>
  </threadedComment>
  <threadedComment ref="O1" dT="2025-10-03T22:05:15.18" personId="{4FCC0666-3E92-4E87-AFE9-2876DB27B41B}" id="{4D2177A4-84CF-48DF-B204-6A2CB51E6DF1}">
    <text>Siso: Alguien con conocimiento es seguridad y salud en el trabajo
In-House: Un administrador: Maneja temas de nómina y atención a colaboradores.</text>
  </threadedComment>
  <threadedComment ref="O1" dT="2025-10-03T22:06:12.13" personId="{4FCC0666-3E92-4E87-AFE9-2876DB27B41B}" id="{9674BADE-F191-4064-B54C-79951FD88690}" parentId="{4D2177A4-84CF-48DF-B204-6A2CB51E6DF1}">
    <text>Hoja Costos Fijos Variables: Bloque 9.
Y 10</text>
  </threadedComment>
  <threadedComment ref="O1" dT="2025-10-03T22:06:41.45" personId="{4FCC0666-3E92-4E87-AFE9-2876DB27B41B}" id="{526CF992-EBB9-4143-BA52-BB8926B58868}" parentId="{4D2177A4-84CF-48DF-B204-6A2CB51E6DF1}">
    <text>Política: Asumidos</text>
  </threadedComment>
  <threadedComment ref="P1" dT="2025-10-03T22:07:55.68" personId="{4FCC0666-3E92-4E87-AFE9-2876DB27B41B}" id="{A6AA93E4-35BD-48C4-93D2-76591683C78A}">
    <text>Agregar el costo</text>
  </threadedComment>
  <threadedComment ref="Q1" dT="2025-09-25T16:25:46.48" personId="{351579BC-A0AB-4B66-82AE-982A07E32DA3}" id="{AF592B0C-66C6-4C0D-BED2-3EC01C0E720E}">
    <text>rc y cum</text>
  </threadedComment>
  <threadedComment ref="Q1" dT="2025-10-03T22:08:21.48" personId="{4FCC0666-3E92-4E87-AFE9-2876DB27B41B}" id="{C642E3BC-CED5-4C96-ACCA-881DE45A75BA}" parentId="{AF592B0C-66C6-4C0D-BED2-3EC01C0E720E}">
    <text>RC: Responsabilidad Civil Extracontractual
CUM: Cumplimiento</text>
  </threadedComment>
  <threadedComment ref="Q1" dT="2025-10-03T22:09:15.00" personId="{4FCC0666-3E92-4E87-AFE9-2876DB27B41B}" id="{6B62A853-57D0-4076-820A-B6300C365ABA}" parentId="{AF592B0C-66C6-4C0D-BED2-3EC01C0E720E}">
    <text xml:space="preserve">Costos Fijos y Variables: Bloque 6 </text>
  </threadedComment>
  <threadedComment ref="R1" dT="2025-09-25T16:26:10.31" personId="{351579BC-A0AB-4B66-82AE-982A07E32DA3}" id="{16FDDCC1-4DC2-45E1-99F0-792DC4986BD5}">
    <text>logistica /refac</text>
  </threadedComment>
  <threadedComment ref="I79" dT="2025-10-10T16:14:35.07" personId="{4FCC0666-3E92-4E87-AFE9-2876DB27B41B}" id="{B8B7BDF4-0143-4013-9732-275531647388}">
    <text>Inicialmente</text>
  </threadedComment>
  <threadedComment ref="I84" dT="2025-10-10T16:14:35.07" personId="{4FCC0666-3E92-4E87-AFE9-2876DB27B41B}" id="{3EC23025-D4D8-44E4-9A7F-4E949A6427EC}">
    <text>Inicialmente</text>
  </threadedComment>
  <threadedComment ref="J88" dT="2025-10-10T16:19:01.45" personId="{4FCC0666-3E92-4E87-AFE9-2876DB27B41B}" id="{CA8926DE-22FF-463E-8A69-7781D01770D0}">
    <text>IPC +2</text>
  </threadedComment>
  <threadedComment ref="J92" dT="2025-10-10T16:19:01.45" personId="{4FCC0666-3E92-4E87-AFE9-2876DB27B41B}" id="{B182C1CE-D99B-4C49-B427-2A0D349ECDF6}">
    <text>IPC +2</text>
  </threadedComment>
  <threadedComment ref="J93" dT="2025-10-10T16:19:01.45" personId="{4FCC0666-3E92-4E87-AFE9-2876DB27B41B}" id="{6D159ACD-60A8-44E4-A695-E250004ED7DF}">
    <text>IPC +2</text>
  </threadedComment>
  <threadedComment ref="J100" dT="2025-10-06T15:45:07.05" personId="{351579BC-A0AB-4B66-82AE-982A07E32DA3}" id="{4D1F441C-55F2-4B19-B2A0-04988F66A38B}">
    <text>No se encontró salario en costeo, se coloca el SMLV 2025</text>
  </threadedComment>
  <threadedComment ref="J105" dT="2025-10-06T15:43:44.67" personId="{351579BC-A0AB-4B66-82AE-982A07E32DA3}" id="{A55B258A-CEB7-425B-9DB0-5F7A856964EA}">
    <text>No se encontró salario en costeo, se coloca el SMLV</text>
  </threadedComment>
  <threadedComment ref="I107" dT="2025-10-10T16:09:26.88" personId="{4FCC0666-3E92-4E87-AFE9-2876DB27B41B}" id="{45FAEC4F-BD7C-4CA4-B6F5-C0057C24AF08}">
    <text>Inicialmente</text>
  </threadedComment>
  <threadedComment ref="I109" dT="2025-10-10T16:09:26.88" personId="{4FCC0666-3E92-4E87-AFE9-2876DB27B41B}" id="{F2F397C1-080D-4827-8058-666803957B8D}">
    <text>Inicialmente</text>
  </threadedComment>
  <threadedComment ref="J109" dT="2025-10-06T15:42:58.21" personId="{351579BC-A0AB-4B66-82AE-982A07E32DA3}" id="{26E80419-0E55-41BB-80F4-68FFDF7CB40C}">
    <text>No se encontró el salario en el costeo, se coloca el minino del 2025</text>
  </threadedComment>
  <threadedComment ref="J110" dT="2025-10-10T16:19:01.45" personId="{4FCC0666-3E92-4E87-AFE9-2876DB27B41B}" id="{DAB28DFC-7E95-4ABC-8E1D-6F9BC86F9550}">
    <text>IPC +2</text>
  </threadedComment>
  <threadedComment ref="I119" dT="2025-10-10T16:15:36.78" personId="{4FCC0666-3E92-4E87-AFE9-2876DB27B41B}" id="{3585FA65-62CF-4EAC-9168-A33EE969DB30}">
    <text>Inicialmente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212E3-2637-41D7-91D9-26EC56F01EC6}">
  <dimension ref="A1:T122"/>
  <sheetViews>
    <sheetView tabSelected="1" workbookViewId="0">
      <selection activeCell="F13" sqref="F13"/>
    </sheetView>
  </sheetViews>
  <sheetFormatPr baseColWidth="10" defaultRowHeight="15" x14ac:dyDescent="0.25"/>
  <cols>
    <col min="1" max="2" width="17.85546875" customWidth="1"/>
    <col min="3" max="3" width="28.5703125" customWidth="1"/>
    <col min="15" max="15" width="15.5703125" customWidth="1"/>
  </cols>
  <sheetData>
    <row r="1" spans="1:20" ht="84" x14ac:dyDescent="0.25">
      <c r="A1" s="1" t="s">
        <v>0</v>
      </c>
      <c r="B1" s="1" t="s">
        <v>176</v>
      </c>
      <c r="C1" s="2" t="s">
        <v>1</v>
      </c>
      <c r="D1" s="3" t="s">
        <v>2</v>
      </c>
      <c r="E1" s="4" t="s">
        <v>3</v>
      </c>
      <c r="F1" s="4" t="s">
        <v>4</v>
      </c>
      <c r="G1" s="4" t="s">
        <v>5</v>
      </c>
      <c r="H1" s="5" t="s">
        <v>6</v>
      </c>
      <c r="I1" s="6" t="s">
        <v>7</v>
      </c>
      <c r="J1" s="4" t="s">
        <v>8</v>
      </c>
      <c r="K1" s="3" t="s">
        <v>9</v>
      </c>
      <c r="L1" s="3" t="s">
        <v>10</v>
      </c>
      <c r="M1" s="3" t="s">
        <v>11</v>
      </c>
      <c r="N1" s="7" t="s">
        <v>12</v>
      </c>
      <c r="O1" s="3" t="s">
        <v>13</v>
      </c>
      <c r="P1" s="3" t="s">
        <v>14</v>
      </c>
      <c r="Q1" s="8" t="s">
        <v>15</v>
      </c>
      <c r="R1" s="3" t="s">
        <v>16</v>
      </c>
      <c r="S1" s="3" t="s">
        <v>174</v>
      </c>
      <c r="T1" s="3" t="s">
        <v>175</v>
      </c>
    </row>
    <row r="2" spans="1:20" x14ac:dyDescent="0.25">
      <c r="A2" s="9" t="s">
        <v>40</v>
      </c>
      <c r="B2" s="9" t="s">
        <v>177</v>
      </c>
      <c r="C2" s="10" t="s">
        <v>17</v>
      </c>
      <c r="D2" s="11">
        <v>45888</v>
      </c>
      <c r="E2" s="12">
        <f>MONTH(D2)</f>
        <v>8</v>
      </c>
      <c r="F2" s="12" t="s">
        <v>18</v>
      </c>
      <c r="G2" s="13">
        <f t="shared" ref="G2:G24" si="0">YEAR(D2)</f>
        <v>2025</v>
      </c>
      <c r="H2" s="14" t="s">
        <v>19</v>
      </c>
      <c r="I2" s="16">
        <v>15</v>
      </c>
      <c r="J2" s="15">
        <v>1620563</v>
      </c>
      <c r="K2" s="13" t="s">
        <v>20</v>
      </c>
      <c r="L2" s="17">
        <v>30</v>
      </c>
      <c r="M2" s="18" t="s">
        <v>21</v>
      </c>
      <c r="N2" s="18" t="s">
        <v>22</v>
      </c>
      <c r="O2" s="18" t="s">
        <v>23</v>
      </c>
      <c r="P2" s="18" t="s">
        <v>24</v>
      </c>
      <c r="Q2" s="18" t="s">
        <v>24</v>
      </c>
      <c r="R2" s="18" t="s">
        <v>24</v>
      </c>
      <c r="S2" s="49"/>
      <c r="T2" s="49"/>
    </row>
    <row r="3" spans="1:20" x14ac:dyDescent="0.25">
      <c r="A3" s="9" t="s">
        <v>41</v>
      </c>
      <c r="B3" s="9" t="s">
        <v>178</v>
      </c>
      <c r="C3" s="10" t="s">
        <v>25</v>
      </c>
      <c r="D3" s="11">
        <v>45881</v>
      </c>
      <c r="E3" s="12">
        <f t="shared" ref="E3:E66" si="1">MONTH(D3)</f>
        <v>8</v>
      </c>
      <c r="F3" s="12" t="s">
        <v>18</v>
      </c>
      <c r="G3" s="13">
        <f t="shared" si="0"/>
        <v>2025</v>
      </c>
      <c r="H3" s="19" t="s">
        <v>19</v>
      </c>
      <c r="I3" s="16">
        <v>128</v>
      </c>
      <c r="J3" s="15">
        <v>3170778</v>
      </c>
      <c r="K3" s="13" t="s">
        <v>20</v>
      </c>
      <c r="L3" s="17">
        <v>30</v>
      </c>
      <c r="M3" s="18" t="s">
        <v>21</v>
      </c>
      <c r="N3" s="18" t="s">
        <v>22</v>
      </c>
      <c r="O3" s="18" t="s">
        <v>26</v>
      </c>
      <c r="P3" s="18" t="s">
        <v>27</v>
      </c>
      <c r="Q3" s="18" t="s">
        <v>24</v>
      </c>
      <c r="R3" s="18" t="s">
        <v>24</v>
      </c>
      <c r="S3" s="49"/>
      <c r="T3" s="49"/>
    </row>
    <row r="4" spans="1:20" x14ac:dyDescent="0.25">
      <c r="A4" s="9" t="s">
        <v>42</v>
      </c>
      <c r="B4" s="9" t="s">
        <v>179</v>
      </c>
      <c r="C4" s="10" t="s">
        <v>25</v>
      </c>
      <c r="D4" s="11">
        <v>45840</v>
      </c>
      <c r="E4" s="12">
        <f t="shared" si="1"/>
        <v>7</v>
      </c>
      <c r="F4" s="12" t="s">
        <v>28</v>
      </c>
      <c r="G4" s="13">
        <f t="shared" si="0"/>
        <v>2025</v>
      </c>
      <c r="H4" s="19" t="s">
        <v>19</v>
      </c>
      <c r="I4" s="16">
        <v>56</v>
      </c>
      <c r="J4" s="15">
        <v>711750</v>
      </c>
      <c r="K4" s="13" t="s">
        <v>20</v>
      </c>
      <c r="L4" s="17">
        <v>30</v>
      </c>
      <c r="M4" s="18" t="s">
        <v>21</v>
      </c>
      <c r="N4" s="18" t="s">
        <v>22</v>
      </c>
      <c r="O4" s="18" t="s">
        <v>23</v>
      </c>
      <c r="P4" s="18" t="s">
        <v>24</v>
      </c>
      <c r="Q4" s="18" t="s">
        <v>24</v>
      </c>
      <c r="R4" s="18" t="s">
        <v>24</v>
      </c>
      <c r="S4" s="49"/>
      <c r="T4" s="49"/>
    </row>
    <row r="5" spans="1:20" x14ac:dyDescent="0.25">
      <c r="A5" s="9" t="s">
        <v>43</v>
      </c>
      <c r="B5" s="9" t="s">
        <v>177</v>
      </c>
      <c r="C5" s="10" t="s">
        <v>29</v>
      </c>
      <c r="D5" s="11">
        <v>45834</v>
      </c>
      <c r="E5" s="12">
        <f t="shared" si="1"/>
        <v>6</v>
      </c>
      <c r="F5" s="12" t="s">
        <v>30</v>
      </c>
      <c r="G5" s="13">
        <f t="shared" si="0"/>
        <v>2025</v>
      </c>
      <c r="H5" s="19" t="s">
        <v>19</v>
      </c>
      <c r="I5" s="16">
        <v>53</v>
      </c>
      <c r="J5" s="15">
        <v>2041000</v>
      </c>
      <c r="K5" s="13" t="s">
        <v>20</v>
      </c>
      <c r="L5" s="17">
        <v>30</v>
      </c>
      <c r="M5" s="18" t="s">
        <v>21</v>
      </c>
      <c r="N5" s="18" t="s">
        <v>22</v>
      </c>
      <c r="O5" s="18" t="s">
        <v>23</v>
      </c>
      <c r="P5" s="18" t="s">
        <v>24</v>
      </c>
      <c r="Q5" s="18" t="s">
        <v>24</v>
      </c>
      <c r="R5" s="18" t="s">
        <v>24</v>
      </c>
      <c r="S5" s="49"/>
      <c r="T5" s="49"/>
    </row>
    <row r="6" spans="1:20" x14ac:dyDescent="0.25">
      <c r="A6" s="9" t="s">
        <v>44</v>
      </c>
      <c r="B6" s="9" t="s">
        <v>177</v>
      </c>
      <c r="C6" s="10" t="s">
        <v>25</v>
      </c>
      <c r="D6" s="11">
        <v>45749</v>
      </c>
      <c r="E6" s="12">
        <f t="shared" si="1"/>
        <v>4</v>
      </c>
      <c r="F6" s="12" t="s">
        <v>31</v>
      </c>
      <c r="G6" s="13">
        <f t="shared" si="0"/>
        <v>2025</v>
      </c>
      <c r="H6" s="19" t="s">
        <v>19</v>
      </c>
      <c r="I6" s="16">
        <v>52</v>
      </c>
      <c r="J6" s="15">
        <v>1430000</v>
      </c>
      <c r="K6" s="13" t="s">
        <v>20</v>
      </c>
      <c r="L6" s="17">
        <v>30</v>
      </c>
      <c r="M6" s="18" t="s">
        <v>21</v>
      </c>
      <c r="N6" s="18" t="s">
        <v>22</v>
      </c>
      <c r="O6" s="18" t="s">
        <v>23</v>
      </c>
      <c r="P6" s="18" t="s">
        <v>24</v>
      </c>
      <c r="Q6" s="18" t="s">
        <v>24</v>
      </c>
      <c r="R6" s="18" t="s">
        <v>24</v>
      </c>
      <c r="S6" s="49"/>
      <c r="T6" s="49"/>
    </row>
    <row r="7" spans="1:20" x14ac:dyDescent="0.25">
      <c r="A7" s="9" t="s">
        <v>45</v>
      </c>
      <c r="B7" s="9" t="s">
        <v>177</v>
      </c>
      <c r="C7" s="10" t="s">
        <v>25</v>
      </c>
      <c r="D7" s="11">
        <v>45749</v>
      </c>
      <c r="E7" s="12">
        <f t="shared" si="1"/>
        <v>4</v>
      </c>
      <c r="F7" s="12" t="s">
        <v>31</v>
      </c>
      <c r="G7" s="13">
        <f t="shared" si="0"/>
        <v>2025</v>
      </c>
      <c r="H7" s="19" t="s">
        <v>19</v>
      </c>
      <c r="I7" s="16">
        <v>52</v>
      </c>
      <c r="J7" s="15">
        <v>1430000</v>
      </c>
      <c r="K7" s="13" t="s">
        <v>20</v>
      </c>
      <c r="L7" s="17">
        <v>30</v>
      </c>
      <c r="M7" s="18" t="s">
        <v>21</v>
      </c>
      <c r="N7" s="18" t="s">
        <v>22</v>
      </c>
      <c r="O7" s="18" t="s">
        <v>23</v>
      </c>
      <c r="P7" s="18" t="s">
        <v>24</v>
      </c>
      <c r="Q7" s="18" t="s">
        <v>24</v>
      </c>
      <c r="R7" s="18" t="s">
        <v>24</v>
      </c>
      <c r="S7" s="49"/>
      <c r="T7" s="49"/>
    </row>
    <row r="8" spans="1:20" x14ac:dyDescent="0.25">
      <c r="A8" s="9" t="s">
        <v>46</v>
      </c>
      <c r="B8" s="9" t="s">
        <v>177</v>
      </c>
      <c r="C8" s="10" t="s">
        <v>17</v>
      </c>
      <c r="D8" s="11">
        <v>45846</v>
      </c>
      <c r="E8" s="12">
        <f t="shared" si="1"/>
        <v>7</v>
      </c>
      <c r="F8" s="12" t="s">
        <v>28</v>
      </c>
      <c r="G8" s="13">
        <f t="shared" si="0"/>
        <v>2025</v>
      </c>
      <c r="H8" s="19" t="s">
        <v>19</v>
      </c>
      <c r="I8" s="16">
        <v>12</v>
      </c>
      <c r="J8" s="15">
        <v>2711750</v>
      </c>
      <c r="K8" s="13" t="s">
        <v>20</v>
      </c>
      <c r="L8" s="17">
        <v>30</v>
      </c>
      <c r="M8" s="18" t="s">
        <v>21</v>
      </c>
      <c r="N8" s="18" t="s">
        <v>22</v>
      </c>
      <c r="O8" s="18" t="s">
        <v>23</v>
      </c>
      <c r="P8" s="18" t="s">
        <v>24</v>
      </c>
      <c r="Q8" s="18" t="s">
        <v>24</v>
      </c>
      <c r="R8" s="18" t="s">
        <v>24</v>
      </c>
      <c r="S8" s="49"/>
      <c r="T8" s="49"/>
    </row>
    <row r="9" spans="1:20" x14ac:dyDescent="0.25">
      <c r="A9" s="9" t="s">
        <v>47</v>
      </c>
      <c r="B9" s="9" t="s">
        <v>177</v>
      </c>
      <c r="C9" s="10" t="s">
        <v>25</v>
      </c>
      <c r="D9" s="11">
        <v>45790</v>
      </c>
      <c r="E9" s="12">
        <f t="shared" si="1"/>
        <v>5</v>
      </c>
      <c r="F9" s="12" t="s">
        <v>32</v>
      </c>
      <c r="G9" s="13">
        <f t="shared" si="0"/>
        <v>2025</v>
      </c>
      <c r="H9" s="19" t="s">
        <v>19</v>
      </c>
      <c r="I9" s="16">
        <v>20</v>
      </c>
      <c r="J9" s="15">
        <v>1430000</v>
      </c>
      <c r="K9" s="13" t="s">
        <v>20</v>
      </c>
      <c r="L9" s="17">
        <v>30</v>
      </c>
      <c r="M9" s="18" t="s">
        <v>21</v>
      </c>
      <c r="N9" s="18" t="s">
        <v>22</v>
      </c>
      <c r="O9" s="18" t="s">
        <v>23</v>
      </c>
      <c r="P9" s="18" t="s">
        <v>24</v>
      </c>
      <c r="Q9" s="18" t="s">
        <v>24</v>
      </c>
      <c r="R9" s="18" t="s">
        <v>24</v>
      </c>
      <c r="S9" s="49"/>
      <c r="T9" s="49"/>
    </row>
    <row r="10" spans="1:20" x14ac:dyDescent="0.25">
      <c r="A10" s="9" t="s">
        <v>48</v>
      </c>
      <c r="B10" s="9" t="s">
        <v>177</v>
      </c>
      <c r="C10" s="10" t="s">
        <v>25</v>
      </c>
      <c r="D10" s="11">
        <v>45829</v>
      </c>
      <c r="E10" s="12">
        <f t="shared" si="1"/>
        <v>6</v>
      </c>
      <c r="F10" s="12" t="s">
        <v>30</v>
      </c>
      <c r="G10" s="13">
        <f t="shared" si="0"/>
        <v>2025</v>
      </c>
      <c r="H10" s="19" t="s">
        <v>19</v>
      </c>
      <c r="I10" s="16">
        <v>40</v>
      </c>
      <c r="J10" s="15">
        <v>1423167</v>
      </c>
      <c r="K10" s="13" t="s">
        <v>20</v>
      </c>
      <c r="L10" s="17">
        <v>30</v>
      </c>
      <c r="M10" s="18" t="s">
        <v>21</v>
      </c>
      <c r="N10" s="18" t="s">
        <v>22</v>
      </c>
      <c r="O10" s="18" t="s">
        <v>26</v>
      </c>
      <c r="P10" s="18" t="s">
        <v>24</v>
      </c>
      <c r="Q10" s="18" t="s">
        <v>24</v>
      </c>
      <c r="R10" s="18" t="s">
        <v>24</v>
      </c>
      <c r="S10" s="49"/>
      <c r="T10" s="49"/>
    </row>
    <row r="11" spans="1:20" x14ac:dyDescent="0.25">
      <c r="A11" s="9" t="s">
        <v>49</v>
      </c>
      <c r="B11" s="9" t="s">
        <v>178</v>
      </c>
      <c r="C11" s="10" t="s">
        <v>33</v>
      </c>
      <c r="D11" s="11">
        <v>45812</v>
      </c>
      <c r="E11" s="12">
        <f t="shared" si="1"/>
        <v>6</v>
      </c>
      <c r="F11" s="12" t="s">
        <v>30</v>
      </c>
      <c r="G11" s="13">
        <f t="shared" si="0"/>
        <v>2025</v>
      </c>
      <c r="H11" s="19" t="s">
        <v>19</v>
      </c>
      <c r="I11" s="16">
        <v>15</v>
      </c>
      <c r="J11" s="15">
        <v>2100000</v>
      </c>
      <c r="K11" s="13" t="s">
        <v>20</v>
      </c>
      <c r="L11" s="17">
        <v>30</v>
      </c>
      <c r="M11" s="18" t="s">
        <v>21</v>
      </c>
      <c r="N11" s="18" t="s">
        <v>22</v>
      </c>
      <c r="O11" s="18" t="s">
        <v>23</v>
      </c>
      <c r="P11" s="18" t="s">
        <v>24</v>
      </c>
      <c r="Q11" s="18" t="s">
        <v>24</v>
      </c>
      <c r="R11" s="18" t="s">
        <v>24</v>
      </c>
      <c r="S11" s="49"/>
      <c r="T11" s="49"/>
    </row>
    <row r="12" spans="1:20" x14ac:dyDescent="0.25">
      <c r="A12" s="9" t="s">
        <v>50</v>
      </c>
      <c r="B12" s="9" t="s">
        <v>179</v>
      </c>
      <c r="C12" s="10" t="s">
        <v>25</v>
      </c>
      <c r="D12" s="11">
        <v>45814</v>
      </c>
      <c r="E12" s="12">
        <f t="shared" si="1"/>
        <v>6</v>
      </c>
      <c r="F12" s="12" t="s">
        <v>30</v>
      </c>
      <c r="G12" s="13">
        <f t="shared" si="0"/>
        <v>2025</v>
      </c>
      <c r="H12" s="19" t="s">
        <v>19</v>
      </c>
      <c r="I12" s="16">
        <v>24</v>
      </c>
      <c r="J12" s="22">
        <v>1561750</v>
      </c>
      <c r="K12" s="13" t="s">
        <v>34</v>
      </c>
      <c r="L12" s="17">
        <v>30</v>
      </c>
      <c r="M12" s="18" t="s">
        <v>21</v>
      </c>
      <c r="N12" s="18" t="s">
        <v>22</v>
      </c>
      <c r="O12" s="18" t="s">
        <v>23</v>
      </c>
      <c r="P12" s="18" t="s">
        <v>24</v>
      </c>
      <c r="Q12" s="18" t="s">
        <v>24</v>
      </c>
      <c r="R12" s="18" t="s">
        <v>24</v>
      </c>
      <c r="S12" s="49"/>
      <c r="T12" s="49"/>
    </row>
    <row r="13" spans="1:20" ht="24" x14ac:dyDescent="0.25">
      <c r="A13" s="9" t="s">
        <v>51</v>
      </c>
      <c r="B13" s="9" t="s">
        <v>177</v>
      </c>
      <c r="C13" s="10" t="s">
        <v>33</v>
      </c>
      <c r="D13" s="11">
        <v>45317</v>
      </c>
      <c r="E13" s="12">
        <f t="shared" si="1"/>
        <v>1</v>
      </c>
      <c r="F13" s="12" t="s">
        <v>36</v>
      </c>
      <c r="G13" s="13">
        <f t="shared" si="0"/>
        <v>2024</v>
      </c>
      <c r="H13" s="19" t="s">
        <v>19</v>
      </c>
      <c r="I13" s="16">
        <v>30</v>
      </c>
      <c r="J13" s="15">
        <v>1300000</v>
      </c>
      <c r="K13" s="13" t="s">
        <v>20</v>
      </c>
      <c r="L13" s="17">
        <v>30</v>
      </c>
      <c r="M13" s="18" t="s">
        <v>21</v>
      </c>
      <c r="N13" s="18" t="s">
        <v>22</v>
      </c>
      <c r="O13" s="18" t="s">
        <v>23</v>
      </c>
      <c r="P13" s="18" t="s">
        <v>24</v>
      </c>
      <c r="Q13" s="18" t="s">
        <v>161</v>
      </c>
      <c r="R13" s="18" t="s">
        <v>162</v>
      </c>
      <c r="S13" s="49"/>
      <c r="T13" s="49"/>
    </row>
    <row r="14" spans="1:20" x14ac:dyDescent="0.25">
      <c r="A14" s="9" t="s">
        <v>52</v>
      </c>
      <c r="B14" s="9" t="s">
        <v>178</v>
      </c>
      <c r="C14" s="10" t="s">
        <v>17</v>
      </c>
      <c r="D14" s="11">
        <v>45846</v>
      </c>
      <c r="E14" s="12">
        <f t="shared" si="1"/>
        <v>7</v>
      </c>
      <c r="F14" s="12" t="s">
        <v>28</v>
      </c>
      <c r="G14" s="13">
        <f t="shared" si="0"/>
        <v>2025</v>
      </c>
      <c r="H14" s="19" t="s">
        <v>19</v>
      </c>
      <c r="I14" s="16">
        <v>12</v>
      </c>
      <c r="J14" s="15">
        <v>2711750</v>
      </c>
      <c r="K14" s="13" t="s">
        <v>20</v>
      </c>
      <c r="L14" s="17">
        <v>30</v>
      </c>
      <c r="M14" s="18" t="s">
        <v>21</v>
      </c>
      <c r="N14" s="18" t="s">
        <v>22</v>
      </c>
      <c r="O14" s="18" t="s">
        <v>23</v>
      </c>
      <c r="P14" s="18" t="s">
        <v>24</v>
      </c>
      <c r="Q14" s="18" t="s">
        <v>24</v>
      </c>
      <c r="R14" s="18" t="s">
        <v>24</v>
      </c>
      <c r="S14" s="49"/>
      <c r="T14" s="49"/>
    </row>
    <row r="15" spans="1:20" x14ac:dyDescent="0.25">
      <c r="A15" s="9" t="s">
        <v>53</v>
      </c>
      <c r="B15" s="9" t="s">
        <v>179</v>
      </c>
      <c r="C15" s="10" t="s">
        <v>33</v>
      </c>
      <c r="D15" s="11">
        <v>45754</v>
      </c>
      <c r="E15" s="12">
        <f t="shared" si="1"/>
        <v>4</v>
      </c>
      <c r="F15" s="12" t="s">
        <v>31</v>
      </c>
      <c r="G15" s="13">
        <f t="shared" si="0"/>
        <v>2025</v>
      </c>
      <c r="H15" s="19" t="s">
        <v>19</v>
      </c>
      <c r="I15" s="16">
        <v>13</v>
      </c>
      <c r="J15" s="15">
        <v>1435600</v>
      </c>
      <c r="K15" s="13" t="s">
        <v>20</v>
      </c>
      <c r="L15" s="17">
        <v>30</v>
      </c>
      <c r="M15" s="18" t="s">
        <v>21</v>
      </c>
      <c r="N15" s="18" t="s">
        <v>22</v>
      </c>
      <c r="O15" s="18" t="s">
        <v>23</v>
      </c>
      <c r="P15" s="18" t="s">
        <v>24</v>
      </c>
      <c r="Q15" s="18" t="s">
        <v>24</v>
      </c>
      <c r="R15" s="18" t="s">
        <v>24</v>
      </c>
      <c r="S15" s="49"/>
      <c r="T15" s="49"/>
    </row>
    <row r="16" spans="1:20" x14ac:dyDescent="0.25">
      <c r="A16" s="9" t="s">
        <v>54</v>
      </c>
      <c r="B16" s="9" t="s">
        <v>177</v>
      </c>
      <c r="C16" s="10" t="s">
        <v>25</v>
      </c>
      <c r="D16" s="11">
        <v>45749</v>
      </c>
      <c r="E16" s="12">
        <f t="shared" si="1"/>
        <v>4</v>
      </c>
      <c r="F16" s="12" t="s">
        <v>31</v>
      </c>
      <c r="G16" s="13">
        <f t="shared" si="0"/>
        <v>2025</v>
      </c>
      <c r="H16" s="19" t="s">
        <v>19</v>
      </c>
      <c r="I16" s="16">
        <v>52</v>
      </c>
      <c r="J16" s="15">
        <v>1430000</v>
      </c>
      <c r="K16" s="13" t="s">
        <v>20</v>
      </c>
      <c r="L16" s="17">
        <v>30</v>
      </c>
      <c r="M16" s="18" t="s">
        <v>21</v>
      </c>
      <c r="N16" s="18" t="s">
        <v>22</v>
      </c>
      <c r="O16" s="18" t="s">
        <v>23</v>
      </c>
      <c r="P16" s="18" t="s">
        <v>24</v>
      </c>
      <c r="Q16" s="18" t="s">
        <v>24</v>
      </c>
      <c r="R16" s="18" t="s">
        <v>24</v>
      </c>
      <c r="S16" s="49"/>
      <c r="T16" s="49"/>
    </row>
    <row r="17" spans="1:20" x14ac:dyDescent="0.25">
      <c r="A17" s="9" t="s">
        <v>55</v>
      </c>
      <c r="B17" s="9" t="s">
        <v>177</v>
      </c>
      <c r="C17" s="10" t="s">
        <v>17</v>
      </c>
      <c r="D17" s="11">
        <v>45754</v>
      </c>
      <c r="E17" s="12">
        <f t="shared" si="1"/>
        <v>4</v>
      </c>
      <c r="F17" s="12" t="s">
        <v>31</v>
      </c>
      <c r="G17" s="13">
        <f t="shared" si="0"/>
        <v>2025</v>
      </c>
      <c r="H17" s="19" t="s">
        <v>19</v>
      </c>
      <c r="I17" s="16">
        <v>12</v>
      </c>
      <c r="J17" s="15">
        <v>2711750</v>
      </c>
      <c r="K17" s="13" t="s">
        <v>20</v>
      </c>
      <c r="L17" s="17">
        <v>30</v>
      </c>
      <c r="M17" s="18" t="s">
        <v>21</v>
      </c>
      <c r="N17" s="18" t="s">
        <v>22</v>
      </c>
      <c r="O17" s="18" t="s">
        <v>23</v>
      </c>
      <c r="P17" s="18" t="s">
        <v>24</v>
      </c>
      <c r="Q17" s="18" t="s">
        <v>24</v>
      </c>
      <c r="R17" s="18" t="s">
        <v>24</v>
      </c>
      <c r="S17" s="49"/>
      <c r="T17" s="49"/>
    </row>
    <row r="18" spans="1:20" x14ac:dyDescent="0.25">
      <c r="A18" s="9" t="s">
        <v>56</v>
      </c>
      <c r="B18" s="9" t="s">
        <v>177</v>
      </c>
      <c r="C18" s="10" t="s">
        <v>25</v>
      </c>
      <c r="D18" s="11">
        <v>45727</v>
      </c>
      <c r="E18" s="12">
        <f t="shared" si="1"/>
        <v>3</v>
      </c>
      <c r="F18" s="12" t="s">
        <v>35</v>
      </c>
      <c r="G18" s="13">
        <f t="shared" si="0"/>
        <v>2025</v>
      </c>
      <c r="H18" s="19" t="s">
        <v>19</v>
      </c>
      <c r="I18" s="16">
        <v>10</v>
      </c>
      <c r="J18" s="15">
        <v>612857</v>
      </c>
      <c r="K18" s="13" t="s">
        <v>20</v>
      </c>
      <c r="L18" s="17">
        <v>30</v>
      </c>
      <c r="M18" s="18" t="s">
        <v>21</v>
      </c>
      <c r="N18" s="18" t="s">
        <v>22</v>
      </c>
      <c r="O18" s="18" t="s">
        <v>23</v>
      </c>
      <c r="P18" s="18" t="s">
        <v>24</v>
      </c>
      <c r="Q18" s="18" t="s">
        <v>24</v>
      </c>
      <c r="R18" s="18" t="s">
        <v>24</v>
      </c>
      <c r="S18" s="49"/>
      <c r="T18" s="49"/>
    </row>
    <row r="19" spans="1:20" ht="24" x14ac:dyDescent="0.25">
      <c r="A19" s="9" t="s">
        <v>57</v>
      </c>
      <c r="B19" s="9" t="s">
        <v>177</v>
      </c>
      <c r="C19" s="10" t="s">
        <v>25</v>
      </c>
      <c r="D19" s="11">
        <v>45719</v>
      </c>
      <c r="E19" s="12">
        <f t="shared" si="1"/>
        <v>3</v>
      </c>
      <c r="F19" s="12" t="s">
        <v>35</v>
      </c>
      <c r="G19" s="13">
        <f t="shared" si="0"/>
        <v>2025</v>
      </c>
      <c r="H19" s="19" t="s">
        <v>19</v>
      </c>
      <c r="I19" s="16">
        <v>20</v>
      </c>
      <c r="J19" s="15">
        <v>711750</v>
      </c>
      <c r="K19" s="13" t="s">
        <v>20</v>
      </c>
      <c r="L19" s="17">
        <v>30</v>
      </c>
      <c r="M19" s="18" t="s">
        <v>23</v>
      </c>
      <c r="N19" s="18" t="s">
        <v>22</v>
      </c>
      <c r="O19" s="18" t="s">
        <v>23</v>
      </c>
      <c r="P19" s="18" t="s">
        <v>24</v>
      </c>
      <c r="Q19" s="18" t="s">
        <v>24</v>
      </c>
      <c r="R19" s="18" t="s">
        <v>24</v>
      </c>
      <c r="S19" s="49"/>
      <c r="T19" s="49"/>
    </row>
    <row r="20" spans="1:20" x14ac:dyDescent="0.25">
      <c r="A20" s="9" t="s">
        <v>58</v>
      </c>
      <c r="B20" s="9" t="s">
        <v>177</v>
      </c>
      <c r="C20" s="10" t="s">
        <v>33</v>
      </c>
      <c r="D20" s="23">
        <v>45658</v>
      </c>
      <c r="E20" s="12">
        <f t="shared" si="1"/>
        <v>1</v>
      </c>
      <c r="F20" s="12" t="s">
        <v>36</v>
      </c>
      <c r="G20" s="13">
        <f t="shared" si="0"/>
        <v>2025</v>
      </c>
      <c r="H20" s="19" t="s">
        <v>19</v>
      </c>
      <c r="I20" s="16">
        <v>10</v>
      </c>
      <c r="J20" s="15">
        <v>1423500</v>
      </c>
      <c r="K20" s="13" t="s">
        <v>20</v>
      </c>
      <c r="L20" s="17">
        <v>30</v>
      </c>
      <c r="M20" s="18" t="s">
        <v>21</v>
      </c>
      <c r="N20" s="18" t="s">
        <v>22</v>
      </c>
      <c r="O20" s="18" t="s">
        <v>23</v>
      </c>
      <c r="P20" s="18" t="s">
        <v>24</v>
      </c>
      <c r="Q20" s="18" t="s">
        <v>24</v>
      </c>
      <c r="R20" s="18" t="s">
        <v>24</v>
      </c>
      <c r="S20" s="49"/>
      <c r="T20" s="49"/>
    </row>
    <row r="21" spans="1:20" ht="24" x14ac:dyDescent="0.25">
      <c r="A21" s="9" t="s">
        <v>59</v>
      </c>
      <c r="B21" s="9" t="s">
        <v>177</v>
      </c>
      <c r="C21" s="10" t="s">
        <v>33</v>
      </c>
      <c r="D21" s="11">
        <v>45099</v>
      </c>
      <c r="E21" s="12">
        <f t="shared" si="1"/>
        <v>6</v>
      </c>
      <c r="F21" s="12" t="s">
        <v>30</v>
      </c>
      <c r="G21" s="13">
        <f t="shared" si="0"/>
        <v>2023</v>
      </c>
      <c r="H21" s="19" t="s">
        <v>19</v>
      </c>
      <c r="I21" s="16">
        <v>16</v>
      </c>
      <c r="J21" s="15">
        <v>1160000</v>
      </c>
      <c r="K21" s="13" t="s">
        <v>34</v>
      </c>
      <c r="L21" s="17">
        <v>30</v>
      </c>
      <c r="M21" s="18" t="s">
        <v>21</v>
      </c>
      <c r="N21" s="18" t="s">
        <v>22</v>
      </c>
      <c r="O21" s="18" t="s">
        <v>23</v>
      </c>
      <c r="P21" s="18" t="s">
        <v>27</v>
      </c>
      <c r="Q21" s="18" t="s">
        <v>161</v>
      </c>
      <c r="R21" s="18" t="s">
        <v>162</v>
      </c>
      <c r="S21" s="49"/>
      <c r="T21" s="49"/>
    </row>
    <row r="22" spans="1:20" ht="24" x14ac:dyDescent="0.25">
      <c r="A22" s="9" t="s">
        <v>60</v>
      </c>
      <c r="B22" s="9" t="s">
        <v>178</v>
      </c>
      <c r="C22" s="10" t="s">
        <v>25</v>
      </c>
      <c r="D22" s="11">
        <v>45636</v>
      </c>
      <c r="E22" s="12">
        <f t="shared" si="1"/>
        <v>12</v>
      </c>
      <c r="F22" s="12" t="s">
        <v>163</v>
      </c>
      <c r="G22" s="13">
        <f t="shared" si="0"/>
        <v>2024</v>
      </c>
      <c r="H22" s="19" t="s">
        <v>19</v>
      </c>
      <c r="I22" s="16">
        <v>13</v>
      </c>
      <c r="J22" s="15">
        <v>1300000</v>
      </c>
      <c r="K22" s="13" t="s">
        <v>20</v>
      </c>
      <c r="L22" s="17">
        <v>30</v>
      </c>
      <c r="M22" s="18" t="s">
        <v>23</v>
      </c>
      <c r="N22" s="18" t="s">
        <v>22</v>
      </c>
      <c r="O22" s="18" t="s">
        <v>23</v>
      </c>
      <c r="P22" s="18" t="s">
        <v>24</v>
      </c>
      <c r="Q22" s="18" t="s">
        <v>24</v>
      </c>
      <c r="R22" s="18" t="s">
        <v>24</v>
      </c>
      <c r="S22" s="49"/>
      <c r="T22" s="49"/>
    </row>
    <row r="23" spans="1:20" ht="24" x14ac:dyDescent="0.25">
      <c r="A23" s="9" t="s">
        <v>61</v>
      </c>
      <c r="B23" s="9" t="s">
        <v>179</v>
      </c>
      <c r="C23" s="10" t="s">
        <v>25</v>
      </c>
      <c r="D23" s="11">
        <v>45636</v>
      </c>
      <c r="E23" s="12">
        <f t="shared" si="1"/>
        <v>12</v>
      </c>
      <c r="F23" s="12" t="s">
        <v>163</v>
      </c>
      <c r="G23" s="13">
        <f t="shared" si="0"/>
        <v>2024</v>
      </c>
      <c r="H23" s="19" t="s">
        <v>19</v>
      </c>
      <c r="I23" s="16">
        <v>13</v>
      </c>
      <c r="J23" s="15">
        <v>1300000</v>
      </c>
      <c r="K23" s="13" t="s">
        <v>20</v>
      </c>
      <c r="L23" s="17">
        <v>30</v>
      </c>
      <c r="M23" s="18" t="s">
        <v>23</v>
      </c>
      <c r="N23" s="18" t="s">
        <v>22</v>
      </c>
      <c r="O23" s="18" t="s">
        <v>23</v>
      </c>
      <c r="P23" s="18" t="s">
        <v>24</v>
      </c>
      <c r="Q23" s="18" t="s">
        <v>24</v>
      </c>
      <c r="R23" s="18" t="s">
        <v>24</v>
      </c>
      <c r="S23" s="49"/>
      <c r="T23" s="49"/>
    </row>
    <row r="24" spans="1:20" ht="24" x14ac:dyDescent="0.25">
      <c r="A24" s="9" t="s">
        <v>62</v>
      </c>
      <c r="B24" s="9" t="s">
        <v>177</v>
      </c>
      <c r="C24" s="10" t="s">
        <v>25</v>
      </c>
      <c r="D24" s="11">
        <v>45240</v>
      </c>
      <c r="E24" s="12">
        <f t="shared" si="1"/>
        <v>11</v>
      </c>
      <c r="F24" s="12" t="s">
        <v>164</v>
      </c>
      <c r="G24" s="13">
        <f t="shared" si="0"/>
        <v>2023</v>
      </c>
      <c r="H24" s="19" t="s">
        <v>19</v>
      </c>
      <c r="I24" s="16">
        <v>150</v>
      </c>
      <c r="J24" s="15">
        <v>1160000</v>
      </c>
      <c r="K24" s="13" t="s">
        <v>20</v>
      </c>
      <c r="L24" s="17">
        <v>30</v>
      </c>
      <c r="M24" s="18" t="s">
        <v>21</v>
      </c>
      <c r="N24" s="18" t="s">
        <v>22</v>
      </c>
      <c r="O24" s="18" t="s">
        <v>23</v>
      </c>
      <c r="P24" s="18" t="s">
        <v>24</v>
      </c>
      <c r="Q24" s="18" t="s">
        <v>161</v>
      </c>
      <c r="R24" s="18" t="s">
        <v>165</v>
      </c>
      <c r="S24" s="49"/>
      <c r="T24" s="49"/>
    </row>
    <row r="25" spans="1:20" x14ac:dyDescent="0.25">
      <c r="A25" s="9" t="s">
        <v>63</v>
      </c>
      <c r="B25" s="9" t="s">
        <v>178</v>
      </c>
      <c r="C25" s="10" t="s">
        <v>33</v>
      </c>
      <c r="D25" s="26" t="s">
        <v>37</v>
      </c>
      <c r="E25" s="26" t="s">
        <v>37</v>
      </c>
      <c r="F25" s="26" t="s">
        <v>37</v>
      </c>
      <c r="G25" s="27" t="s">
        <v>37</v>
      </c>
      <c r="H25" s="26" t="s">
        <v>37</v>
      </c>
      <c r="I25" s="29" t="s">
        <v>37</v>
      </c>
      <c r="J25" s="30" t="s">
        <v>37</v>
      </c>
      <c r="K25" s="31" t="s">
        <v>37</v>
      </c>
      <c r="L25" s="32" t="s">
        <v>37</v>
      </c>
      <c r="M25" s="32" t="s">
        <v>37</v>
      </c>
      <c r="N25" s="32" t="s">
        <v>37</v>
      </c>
      <c r="O25" s="32" t="s">
        <v>37</v>
      </c>
      <c r="P25" s="32" t="s">
        <v>37</v>
      </c>
      <c r="Q25" s="32" t="s">
        <v>37</v>
      </c>
      <c r="R25" s="26" t="s">
        <v>37</v>
      </c>
      <c r="S25" s="49"/>
      <c r="T25" s="49"/>
    </row>
    <row r="26" spans="1:20" x14ac:dyDescent="0.25">
      <c r="A26" s="9" t="s">
        <v>64</v>
      </c>
      <c r="B26" s="9" t="s">
        <v>179</v>
      </c>
      <c r="C26" s="10" t="s">
        <v>25</v>
      </c>
      <c r="D26" s="11">
        <v>45575</v>
      </c>
      <c r="E26" s="12">
        <f t="shared" si="1"/>
        <v>10</v>
      </c>
      <c r="F26" s="12" t="s">
        <v>166</v>
      </c>
      <c r="G26" s="13">
        <f t="shared" ref="G26:G86" si="2">YEAR(D26)</f>
        <v>2024</v>
      </c>
      <c r="H26" s="19" t="s">
        <v>19</v>
      </c>
      <c r="I26" s="16">
        <v>10</v>
      </c>
      <c r="J26" s="15">
        <v>1400000</v>
      </c>
      <c r="K26" s="13" t="s">
        <v>20</v>
      </c>
      <c r="L26" s="17">
        <v>30</v>
      </c>
      <c r="M26" s="18" t="s">
        <v>21</v>
      </c>
      <c r="N26" s="18" t="s">
        <v>22</v>
      </c>
      <c r="O26" s="18" t="s">
        <v>23</v>
      </c>
      <c r="P26" s="18" t="s">
        <v>24</v>
      </c>
      <c r="Q26" s="18" t="s">
        <v>24</v>
      </c>
      <c r="R26" s="18" t="s">
        <v>24</v>
      </c>
      <c r="S26" s="49"/>
      <c r="T26" s="49"/>
    </row>
    <row r="27" spans="1:20" x14ac:dyDescent="0.25">
      <c r="A27" s="9" t="s">
        <v>65</v>
      </c>
      <c r="B27" s="9" t="s">
        <v>177</v>
      </c>
      <c r="C27" s="10" t="s">
        <v>25</v>
      </c>
      <c r="D27" s="11">
        <v>45636</v>
      </c>
      <c r="E27" s="12">
        <f t="shared" si="1"/>
        <v>12</v>
      </c>
      <c r="F27" s="12" t="s">
        <v>163</v>
      </c>
      <c r="G27" s="13">
        <f t="shared" si="2"/>
        <v>2024</v>
      </c>
      <c r="H27" s="19" t="s">
        <v>19</v>
      </c>
      <c r="I27" s="16">
        <v>38</v>
      </c>
      <c r="J27" s="15">
        <v>1300000</v>
      </c>
      <c r="K27" s="13" t="s">
        <v>20</v>
      </c>
      <c r="L27" s="17">
        <v>30</v>
      </c>
      <c r="M27" s="18" t="s">
        <v>21</v>
      </c>
      <c r="N27" s="18" t="s">
        <v>22</v>
      </c>
      <c r="O27" s="18" t="s">
        <v>23</v>
      </c>
      <c r="P27" s="18" t="s">
        <v>24</v>
      </c>
      <c r="Q27" s="18" t="s">
        <v>24</v>
      </c>
      <c r="R27" s="18" t="s">
        <v>24</v>
      </c>
      <c r="S27" s="49"/>
      <c r="T27" s="49"/>
    </row>
    <row r="28" spans="1:20" ht="24" x14ac:dyDescent="0.25">
      <c r="A28" s="9" t="s">
        <v>66</v>
      </c>
      <c r="B28" s="9" t="s">
        <v>177</v>
      </c>
      <c r="C28" s="10" t="s">
        <v>33</v>
      </c>
      <c r="D28" s="11">
        <v>45594</v>
      </c>
      <c r="E28" s="12">
        <f t="shared" si="1"/>
        <v>10</v>
      </c>
      <c r="F28" s="12" t="s">
        <v>166</v>
      </c>
      <c r="G28" s="13">
        <f t="shared" si="2"/>
        <v>2024</v>
      </c>
      <c r="H28" s="19" t="s">
        <v>19</v>
      </c>
      <c r="I28" s="16">
        <v>20</v>
      </c>
      <c r="J28" s="15">
        <v>3628000</v>
      </c>
      <c r="K28" s="13" t="s">
        <v>20</v>
      </c>
      <c r="L28" s="17">
        <v>30</v>
      </c>
      <c r="M28" s="18" t="s">
        <v>21</v>
      </c>
      <c r="N28" s="18" t="s">
        <v>22</v>
      </c>
      <c r="O28" s="18" t="s">
        <v>167</v>
      </c>
      <c r="P28" s="18" t="s">
        <v>24</v>
      </c>
      <c r="Q28" s="18" t="s">
        <v>161</v>
      </c>
      <c r="R28" s="18" t="s">
        <v>162</v>
      </c>
      <c r="S28" s="49"/>
      <c r="T28" s="49"/>
    </row>
    <row r="29" spans="1:20" x14ac:dyDescent="0.25">
      <c r="A29" s="9" t="s">
        <v>67</v>
      </c>
      <c r="B29" s="9" t="s">
        <v>177</v>
      </c>
      <c r="C29" s="10" t="s">
        <v>33</v>
      </c>
      <c r="D29" s="11">
        <v>45679</v>
      </c>
      <c r="E29" s="12">
        <f t="shared" si="1"/>
        <v>1</v>
      </c>
      <c r="F29" s="12" t="s">
        <v>36</v>
      </c>
      <c r="G29" s="13">
        <f t="shared" si="2"/>
        <v>2025</v>
      </c>
      <c r="H29" s="19" t="s">
        <v>19</v>
      </c>
      <c r="I29" s="16">
        <v>36</v>
      </c>
      <c r="J29" s="22">
        <v>1998000</v>
      </c>
      <c r="K29" s="13" t="s">
        <v>20</v>
      </c>
      <c r="L29" s="17">
        <v>30</v>
      </c>
      <c r="M29" s="18" t="s">
        <v>21</v>
      </c>
      <c r="N29" s="18" t="s">
        <v>22</v>
      </c>
      <c r="O29" s="18" t="s">
        <v>23</v>
      </c>
      <c r="P29" s="18" t="s">
        <v>24</v>
      </c>
      <c r="Q29" s="18" t="s">
        <v>24</v>
      </c>
      <c r="R29" s="18" t="s">
        <v>24</v>
      </c>
      <c r="S29" s="49"/>
      <c r="T29" s="49"/>
    </row>
    <row r="30" spans="1:20" x14ac:dyDescent="0.25">
      <c r="A30" s="9" t="s">
        <v>68</v>
      </c>
      <c r="B30" s="9" t="s">
        <v>177</v>
      </c>
      <c r="C30" s="10" t="s">
        <v>17</v>
      </c>
      <c r="D30" s="11">
        <v>45573</v>
      </c>
      <c r="E30" s="12">
        <f t="shared" si="1"/>
        <v>10</v>
      </c>
      <c r="F30" s="12" t="s">
        <v>166</v>
      </c>
      <c r="G30" s="13">
        <f t="shared" si="2"/>
        <v>2024</v>
      </c>
      <c r="H30" s="19" t="s">
        <v>19</v>
      </c>
      <c r="I30" s="16">
        <v>8</v>
      </c>
      <c r="J30" s="21">
        <v>2534500</v>
      </c>
      <c r="K30" s="13" t="s">
        <v>20</v>
      </c>
      <c r="L30" s="17">
        <v>30</v>
      </c>
      <c r="M30" s="18" t="s">
        <v>21</v>
      </c>
      <c r="N30" s="18" t="s">
        <v>22</v>
      </c>
      <c r="O30" s="18" t="s">
        <v>23</v>
      </c>
      <c r="P30" s="18" t="s">
        <v>24</v>
      </c>
      <c r="Q30" s="18" t="s">
        <v>24</v>
      </c>
      <c r="R30" s="18" t="s">
        <v>24</v>
      </c>
      <c r="S30" s="49"/>
      <c r="T30" s="49"/>
    </row>
    <row r="31" spans="1:20" x14ac:dyDescent="0.25">
      <c r="A31" s="9" t="s">
        <v>69</v>
      </c>
      <c r="B31" s="9" t="s">
        <v>177</v>
      </c>
      <c r="C31" s="10" t="s">
        <v>17</v>
      </c>
      <c r="D31" s="11">
        <v>45687</v>
      </c>
      <c r="E31" s="12">
        <f t="shared" si="1"/>
        <v>1</v>
      </c>
      <c r="F31" s="12" t="s">
        <v>36</v>
      </c>
      <c r="G31" s="13">
        <f t="shared" si="2"/>
        <v>2025</v>
      </c>
      <c r="H31" s="19" t="s">
        <v>19</v>
      </c>
      <c r="I31" s="16">
        <v>50</v>
      </c>
      <c r="J31" s="15">
        <v>1900000</v>
      </c>
      <c r="K31" s="13" t="s">
        <v>20</v>
      </c>
      <c r="L31" s="17">
        <v>30</v>
      </c>
      <c r="M31" s="18" t="s">
        <v>21</v>
      </c>
      <c r="N31" s="18" t="s">
        <v>22</v>
      </c>
      <c r="O31" s="18" t="s">
        <v>23</v>
      </c>
      <c r="P31" s="18" t="s">
        <v>24</v>
      </c>
      <c r="Q31" s="18" t="s">
        <v>24</v>
      </c>
      <c r="R31" s="18" t="s">
        <v>24</v>
      </c>
      <c r="S31" s="49"/>
      <c r="T31" s="49"/>
    </row>
    <row r="32" spans="1:20" x14ac:dyDescent="0.25">
      <c r="A32" s="9" t="s">
        <v>70</v>
      </c>
      <c r="B32" s="9" t="s">
        <v>177</v>
      </c>
      <c r="C32" s="10" t="s">
        <v>33</v>
      </c>
      <c r="D32" s="11">
        <v>45686</v>
      </c>
      <c r="E32" s="12">
        <f t="shared" si="1"/>
        <v>1</v>
      </c>
      <c r="F32" s="12" t="s">
        <v>36</v>
      </c>
      <c r="G32" s="13">
        <f t="shared" si="2"/>
        <v>2025</v>
      </c>
      <c r="H32" s="19" t="s">
        <v>19</v>
      </c>
      <c r="I32" s="16">
        <v>7</v>
      </c>
      <c r="J32" s="15">
        <v>1500000</v>
      </c>
      <c r="K32" s="13" t="s">
        <v>20</v>
      </c>
      <c r="L32" s="17">
        <v>30</v>
      </c>
      <c r="M32" s="18" t="s">
        <v>21</v>
      </c>
      <c r="N32" s="18" t="s">
        <v>22</v>
      </c>
      <c r="O32" s="18" t="s">
        <v>23</v>
      </c>
      <c r="P32" s="18" t="s">
        <v>24</v>
      </c>
      <c r="Q32" s="18" t="s">
        <v>24</v>
      </c>
      <c r="R32" s="18" t="s">
        <v>24</v>
      </c>
      <c r="S32" s="49"/>
      <c r="T32" s="49"/>
    </row>
    <row r="33" spans="1:20" x14ac:dyDescent="0.25">
      <c r="A33" s="9" t="s">
        <v>71</v>
      </c>
      <c r="B33" s="9" t="s">
        <v>178</v>
      </c>
      <c r="C33" s="10" t="s">
        <v>33</v>
      </c>
      <c r="D33" s="11">
        <v>45690</v>
      </c>
      <c r="E33" s="12">
        <f t="shared" si="1"/>
        <v>2</v>
      </c>
      <c r="F33" s="12" t="s">
        <v>38</v>
      </c>
      <c r="G33" s="13">
        <f t="shared" si="2"/>
        <v>2025</v>
      </c>
      <c r="H33" s="19" t="s">
        <v>19</v>
      </c>
      <c r="I33" s="16">
        <v>4</v>
      </c>
      <c r="J33" s="15">
        <v>1423500</v>
      </c>
      <c r="K33" s="13" t="s">
        <v>20</v>
      </c>
      <c r="L33" s="17">
        <v>30</v>
      </c>
      <c r="M33" s="18" t="s">
        <v>21</v>
      </c>
      <c r="N33" s="18" t="s">
        <v>22</v>
      </c>
      <c r="O33" s="18" t="s">
        <v>23</v>
      </c>
      <c r="P33" s="18" t="s">
        <v>24</v>
      </c>
      <c r="Q33" s="18" t="s">
        <v>24</v>
      </c>
      <c r="R33" s="18" t="s">
        <v>24</v>
      </c>
      <c r="S33" s="49"/>
      <c r="T33" s="49"/>
    </row>
    <row r="34" spans="1:20" x14ac:dyDescent="0.25">
      <c r="A34" s="9" t="s">
        <v>72</v>
      </c>
      <c r="B34" s="9" t="s">
        <v>179</v>
      </c>
      <c r="C34" s="10" t="s">
        <v>25</v>
      </c>
      <c r="D34" s="11">
        <v>45687</v>
      </c>
      <c r="E34" s="12">
        <f t="shared" si="1"/>
        <v>1</v>
      </c>
      <c r="F34" s="12" t="s">
        <v>36</v>
      </c>
      <c r="G34" s="13">
        <f t="shared" si="2"/>
        <v>2025</v>
      </c>
      <c r="H34" s="19" t="s">
        <v>19</v>
      </c>
      <c r="I34" s="16">
        <v>30</v>
      </c>
      <c r="J34" s="24">
        <v>1423500</v>
      </c>
      <c r="K34" s="13" t="s">
        <v>20</v>
      </c>
      <c r="L34" s="17">
        <v>30</v>
      </c>
      <c r="M34" s="18" t="s">
        <v>21</v>
      </c>
      <c r="N34" s="18" t="s">
        <v>22</v>
      </c>
      <c r="O34" s="18" t="s">
        <v>23</v>
      </c>
      <c r="P34" s="18" t="s">
        <v>24</v>
      </c>
      <c r="Q34" s="18" t="s">
        <v>24</v>
      </c>
      <c r="R34" s="18" t="s">
        <v>24</v>
      </c>
      <c r="S34" s="49"/>
      <c r="T34" s="49"/>
    </row>
    <row r="35" spans="1:20" x14ac:dyDescent="0.25">
      <c r="A35" s="9" t="s">
        <v>73</v>
      </c>
      <c r="B35" s="9" t="s">
        <v>177</v>
      </c>
      <c r="C35" s="10" t="s">
        <v>25</v>
      </c>
      <c r="D35" s="11">
        <v>45727</v>
      </c>
      <c r="E35" s="12">
        <f t="shared" si="1"/>
        <v>3</v>
      </c>
      <c r="F35" s="12" t="s">
        <v>35</v>
      </c>
      <c r="G35" s="13">
        <f t="shared" si="2"/>
        <v>2025</v>
      </c>
      <c r="H35" s="19" t="s">
        <v>19</v>
      </c>
      <c r="I35" s="16">
        <v>10</v>
      </c>
      <c r="J35" s="15">
        <v>612857</v>
      </c>
      <c r="K35" s="13" t="s">
        <v>20</v>
      </c>
      <c r="L35" s="17">
        <v>30</v>
      </c>
      <c r="M35" s="18" t="s">
        <v>21</v>
      </c>
      <c r="N35" s="18" t="s">
        <v>22</v>
      </c>
      <c r="O35" s="18" t="s">
        <v>23</v>
      </c>
      <c r="P35" s="18" t="s">
        <v>24</v>
      </c>
      <c r="Q35" s="18" t="s">
        <v>24</v>
      </c>
      <c r="R35" s="18" t="s">
        <v>24</v>
      </c>
      <c r="S35" s="49"/>
      <c r="T35" s="49"/>
    </row>
    <row r="36" spans="1:20" ht="24" x14ac:dyDescent="0.25">
      <c r="A36" s="9" t="s">
        <v>74</v>
      </c>
      <c r="B36" s="9" t="s">
        <v>178</v>
      </c>
      <c r="C36" s="10" t="s">
        <v>25</v>
      </c>
      <c r="D36" s="11">
        <v>45598</v>
      </c>
      <c r="E36" s="12">
        <f>MONTH(D36)</f>
        <v>11</v>
      </c>
      <c r="F36" s="12" t="s">
        <v>164</v>
      </c>
      <c r="G36" s="13">
        <f t="shared" si="2"/>
        <v>2024</v>
      </c>
      <c r="H36" s="19" t="s">
        <v>19</v>
      </c>
      <c r="I36" s="16">
        <v>60</v>
      </c>
      <c r="J36" s="33">
        <v>1400000</v>
      </c>
      <c r="K36" s="13" t="s">
        <v>20</v>
      </c>
      <c r="L36" s="17">
        <v>30</v>
      </c>
      <c r="M36" s="18" t="s">
        <v>23</v>
      </c>
      <c r="N36" s="18" t="s">
        <v>22</v>
      </c>
      <c r="O36" s="18" t="s">
        <v>23</v>
      </c>
      <c r="P36" s="18" t="s">
        <v>24</v>
      </c>
      <c r="Q36" s="18" t="s">
        <v>24</v>
      </c>
      <c r="R36" s="18" t="s">
        <v>24</v>
      </c>
      <c r="S36" s="49"/>
      <c r="T36" s="49"/>
    </row>
    <row r="37" spans="1:20" x14ac:dyDescent="0.25">
      <c r="A37" s="9" t="s">
        <v>75</v>
      </c>
      <c r="B37" s="9" t="s">
        <v>179</v>
      </c>
      <c r="C37" s="10" t="s">
        <v>25</v>
      </c>
      <c r="D37" s="11">
        <v>45629</v>
      </c>
      <c r="E37" s="12">
        <f t="shared" si="1"/>
        <v>12</v>
      </c>
      <c r="F37" s="12" t="s">
        <v>163</v>
      </c>
      <c r="G37" s="13">
        <f t="shared" si="2"/>
        <v>2024</v>
      </c>
      <c r="H37" s="19" t="s">
        <v>19</v>
      </c>
      <c r="I37" s="16">
        <v>15</v>
      </c>
      <c r="J37" s="24">
        <v>1300000</v>
      </c>
      <c r="K37" s="13" t="s">
        <v>20</v>
      </c>
      <c r="L37" s="17">
        <v>30</v>
      </c>
      <c r="M37" s="18" t="s">
        <v>21</v>
      </c>
      <c r="N37" s="18" t="s">
        <v>22</v>
      </c>
      <c r="O37" s="18" t="s">
        <v>23</v>
      </c>
      <c r="P37" s="18" t="s">
        <v>24</v>
      </c>
      <c r="Q37" s="18" t="s">
        <v>24</v>
      </c>
      <c r="R37" s="18" t="s">
        <v>24</v>
      </c>
      <c r="S37" s="49"/>
      <c r="T37" s="49"/>
    </row>
    <row r="38" spans="1:20" x14ac:dyDescent="0.25">
      <c r="A38" s="9" t="s">
        <v>76</v>
      </c>
      <c r="B38" s="9" t="s">
        <v>177</v>
      </c>
      <c r="C38" s="10" t="s">
        <v>25</v>
      </c>
      <c r="D38" s="11">
        <v>45727</v>
      </c>
      <c r="E38" s="12">
        <f t="shared" si="1"/>
        <v>3</v>
      </c>
      <c r="F38" s="12" t="s">
        <v>35</v>
      </c>
      <c r="G38" s="13">
        <f t="shared" si="2"/>
        <v>2025</v>
      </c>
      <c r="H38" s="19" t="s">
        <v>19</v>
      </c>
      <c r="I38" s="16">
        <v>10</v>
      </c>
      <c r="J38" s="15">
        <v>612857</v>
      </c>
      <c r="K38" s="13" t="s">
        <v>20</v>
      </c>
      <c r="L38" s="17">
        <v>30</v>
      </c>
      <c r="M38" s="18" t="s">
        <v>21</v>
      </c>
      <c r="N38" s="18" t="s">
        <v>22</v>
      </c>
      <c r="O38" s="18" t="s">
        <v>23</v>
      </c>
      <c r="P38" s="18" t="s">
        <v>24</v>
      </c>
      <c r="Q38" s="18" t="s">
        <v>24</v>
      </c>
      <c r="R38" s="18" t="s">
        <v>24</v>
      </c>
      <c r="S38" s="49"/>
      <c r="T38" s="49"/>
    </row>
    <row r="39" spans="1:20" x14ac:dyDescent="0.25">
      <c r="A39" s="9" t="s">
        <v>77</v>
      </c>
      <c r="B39" s="9" t="s">
        <v>177</v>
      </c>
      <c r="C39" s="10" t="s">
        <v>17</v>
      </c>
      <c r="D39" s="11">
        <v>45915</v>
      </c>
      <c r="E39" s="12">
        <f t="shared" si="1"/>
        <v>9</v>
      </c>
      <c r="F39" s="12" t="s">
        <v>39</v>
      </c>
      <c r="G39" s="13">
        <f t="shared" si="2"/>
        <v>2025</v>
      </c>
      <c r="H39" s="19" t="s">
        <v>19</v>
      </c>
      <c r="I39" s="25">
        <v>10</v>
      </c>
      <c r="J39" s="22">
        <v>1423500</v>
      </c>
      <c r="K39" s="13" t="s">
        <v>20</v>
      </c>
      <c r="L39" s="17">
        <v>30</v>
      </c>
      <c r="M39" s="18" t="s">
        <v>21</v>
      </c>
      <c r="N39" s="18" t="s">
        <v>22</v>
      </c>
      <c r="O39" s="18" t="s">
        <v>23</v>
      </c>
      <c r="P39" s="18" t="s">
        <v>24</v>
      </c>
      <c r="Q39" s="18" t="s">
        <v>24</v>
      </c>
      <c r="R39" s="18" t="s">
        <v>24</v>
      </c>
      <c r="S39" s="49"/>
      <c r="T39" s="49"/>
    </row>
    <row r="40" spans="1:20" ht="24" x14ac:dyDescent="0.25">
      <c r="A40" s="9" t="s">
        <v>78</v>
      </c>
      <c r="B40" s="9" t="s">
        <v>177</v>
      </c>
      <c r="C40" s="10" t="s">
        <v>33</v>
      </c>
      <c r="D40" s="11">
        <v>45002</v>
      </c>
      <c r="E40" s="12">
        <f t="shared" si="1"/>
        <v>3</v>
      </c>
      <c r="F40" s="12" t="s">
        <v>35</v>
      </c>
      <c r="G40" s="13">
        <f t="shared" si="2"/>
        <v>2023</v>
      </c>
      <c r="H40" s="19" t="s">
        <v>19</v>
      </c>
      <c r="I40" s="25">
        <v>15</v>
      </c>
      <c r="J40" s="15">
        <v>1180000</v>
      </c>
      <c r="K40" s="13" t="s">
        <v>20</v>
      </c>
      <c r="L40" s="17">
        <v>30</v>
      </c>
      <c r="M40" s="18" t="s">
        <v>21</v>
      </c>
      <c r="N40" s="18" t="s">
        <v>22</v>
      </c>
      <c r="O40" s="18" t="s">
        <v>23</v>
      </c>
      <c r="P40" s="18" t="s">
        <v>24</v>
      </c>
      <c r="Q40" s="18" t="s">
        <v>161</v>
      </c>
      <c r="R40" s="18" t="s">
        <v>162</v>
      </c>
      <c r="S40" s="49"/>
      <c r="T40" s="49"/>
    </row>
    <row r="41" spans="1:20" x14ac:dyDescent="0.25">
      <c r="A41" s="9" t="s">
        <v>79</v>
      </c>
      <c r="B41" s="9" t="s">
        <v>177</v>
      </c>
      <c r="C41" s="10" t="s">
        <v>25</v>
      </c>
      <c r="D41" s="11">
        <v>45598</v>
      </c>
      <c r="E41" s="12">
        <f t="shared" si="1"/>
        <v>11</v>
      </c>
      <c r="F41" s="12" t="s">
        <v>164</v>
      </c>
      <c r="G41" s="13">
        <f t="shared" si="2"/>
        <v>2024</v>
      </c>
      <c r="H41" s="19" t="s">
        <v>19</v>
      </c>
      <c r="I41" s="16">
        <v>21</v>
      </c>
      <c r="J41" s="22">
        <v>1470000</v>
      </c>
      <c r="K41" s="13" t="s">
        <v>20</v>
      </c>
      <c r="L41" s="17">
        <v>30</v>
      </c>
      <c r="M41" s="18" t="s">
        <v>21</v>
      </c>
      <c r="N41" s="18" t="s">
        <v>22</v>
      </c>
      <c r="O41" s="18" t="s">
        <v>23</v>
      </c>
      <c r="P41" s="18" t="s">
        <v>24</v>
      </c>
      <c r="Q41" s="18" t="s">
        <v>24</v>
      </c>
      <c r="R41" s="18" t="s">
        <v>24</v>
      </c>
      <c r="S41" s="49"/>
      <c r="T41" s="49"/>
    </row>
    <row r="42" spans="1:20" x14ac:dyDescent="0.25">
      <c r="A42" s="9" t="s">
        <v>80</v>
      </c>
      <c r="B42" s="9" t="s">
        <v>177</v>
      </c>
      <c r="C42" s="10" t="s">
        <v>33</v>
      </c>
      <c r="D42" s="11">
        <v>45383</v>
      </c>
      <c r="E42" s="12">
        <f t="shared" si="1"/>
        <v>4</v>
      </c>
      <c r="F42" s="12" t="s">
        <v>31</v>
      </c>
      <c r="G42" s="13">
        <f t="shared" si="2"/>
        <v>2024</v>
      </c>
      <c r="H42" s="19" t="s">
        <v>19</v>
      </c>
      <c r="I42" s="25">
        <v>15</v>
      </c>
      <c r="J42" s="15">
        <v>1600000</v>
      </c>
      <c r="K42" s="13" t="s">
        <v>20</v>
      </c>
      <c r="L42" s="17">
        <v>30</v>
      </c>
      <c r="M42" s="18" t="s">
        <v>21</v>
      </c>
      <c r="N42" s="18" t="s">
        <v>22</v>
      </c>
      <c r="O42" s="18" t="s">
        <v>23</v>
      </c>
      <c r="P42" s="18" t="s">
        <v>24</v>
      </c>
      <c r="Q42" s="18" t="s">
        <v>24</v>
      </c>
      <c r="R42" s="18" t="s">
        <v>24</v>
      </c>
      <c r="S42" s="49"/>
      <c r="T42" s="49"/>
    </row>
    <row r="43" spans="1:20" x14ac:dyDescent="0.25">
      <c r="A43" s="9" t="s">
        <v>81</v>
      </c>
      <c r="B43" s="9" t="s">
        <v>177</v>
      </c>
      <c r="C43" s="10" t="s">
        <v>33</v>
      </c>
      <c r="D43" s="11">
        <v>45383</v>
      </c>
      <c r="E43" s="12">
        <f t="shared" si="1"/>
        <v>4</v>
      </c>
      <c r="F43" s="12" t="s">
        <v>31</v>
      </c>
      <c r="G43" s="13">
        <f t="shared" si="2"/>
        <v>2024</v>
      </c>
      <c r="H43" s="19" t="s">
        <v>19</v>
      </c>
      <c r="I43" s="25">
        <v>15</v>
      </c>
      <c r="J43" s="15">
        <v>1600000</v>
      </c>
      <c r="K43" s="13" t="s">
        <v>20</v>
      </c>
      <c r="L43" s="17">
        <v>30</v>
      </c>
      <c r="M43" s="18" t="s">
        <v>21</v>
      </c>
      <c r="N43" s="18" t="s">
        <v>22</v>
      </c>
      <c r="O43" s="18" t="s">
        <v>23</v>
      </c>
      <c r="P43" s="18" t="s">
        <v>24</v>
      </c>
      <c r="Q43" s="18" t="s">
        <v>24</v>
      </c>
      <c r="R43" s="18" t="s">
        <v>24</v>
      </c>
      <c r="S43" s="49"/>
      <c r="T43" s="49"/>
    </row>
    <row r="44" spans="1:20" x14ac:dyDescent="0.25">
      <c r="A44" s="9" t="s">
        <v>82</v>
      </c>
      <c r="B44" s="9" t="s">
        <v>178</v>
      </c>
      <c r="C44" s="10" t="s">
        <v>33</v>
      </c>
      <c r="D44" s="11">
        <v>45383</v>
      </c>
      <c r="E44" s="12">
        <f t="shared" si="1"/>
        <v>4</v>
      </c>
      <c r="F44" s="12" t="s">
        <v>31</v>
      </c>
      <c r="G44" s="13">
        <f t="shared" si="2"/>
        <v>2024</v>
      </c>
      <c r="H44" s="19" t="s">
        <v>19</v>
      </c>
      <c r="I44" s="25">
        <v>15</v>
      </c>
      <c r="J44" s="15">
        <v>1600000</v>
      </c>
      <c r="K44" s="13" t="s">
        <v>20</v>
      </c>
      <c r="L44" s="17">
        <v>30</v>
      </c>
      <c r="M44" s="18" t="s">
        <v>21</v>
      </c>
      <c r="N44" s="18" t="s">
        <v>22</v>
      </c>
      <c r="O44" s="18" t="s">
        <v>23</v>
      </c>
      <c r="P44" s="18" t="s">
        <v>24</v>
      </c>
      <c r="Q44" s="18" t="s">
        <v>24</v>
      </c>
      <c r="R44" s="18" t="s">
        <v>24</v>
      </c>
      <c r="S44" s="49"/>
      <c r="T44" s="49"/>
    </row>
    <row r="45" spans="1:20" x14ac:dyDescent="0.25">
      <c r="A45" s="9" t="s">
        <v>83</v>
      </c>
      <c r="B45" s="9" t="s">
        <v>179</v>
      </c>
      <c r="C45" s="10" t="s">
        <v>33</v>
      </c>
      <c r="D45" s="11">
        <v>45383</v>
      </c>
      <c r="E45" s="12">
        <f t="shared" si="1"/>
        <v>4</v>
      </c>
      <c r="F45" s="12" t="s">
        <v>31</v>
      </c>
      <c r="G45" s="13">
        <f t="shared" si="2"/>
        <v>2024</v>
      </c>
      <c r="H45" s="19" t="s">
        <v>19</v>
      </c>
      <c r="I45" s="25">
        <v>15</v>
      </c>
      <c r="J45" s="15">
        <v>1600000</v>
      </c>
      <c r="K45" s="13" t="s">
        <v>20</v>
      </c>
      <c r="L45" s="17">
        <v>30</v>
      </c>
      <c r="M45" s="18" t="s">
        <v>21</v>
      </c>
      <c r="N45" s="18" t="s">
        <v>22</v>
      </c>
      <c r="O45" s="18" t="s">
        <v>23</v>
      </c>
      <c r="P45" s="18" t="s">
        <v>24</v>
      </c>
      <c r="Q45" s="18" t="s">
        <v>24</v>
      </c>
      <c r="R45" s="18" t="s">
        <v>24</v>
      </c>
      <c r="S45" s="49"/>
      <c r="T45" s="49"/>
    </row>
    <row r="46" spans="1:20" x14ac:dyDescent="0.25">
      <c r="A46" s="9" t="s">
        <v>84</v>
      </c>
      <c r="B46" s="9" t="s">
        <v>177</v>
      </c>
      <c r="C46" s="10" t="s">
        <v>168</v>
      </c>
      <c r="D46" s="11">
        <v>45562</v>
      </c>
      <c r="E46" s="12">
        <f t="shared" si="1"/>
        <v>9</v>
      </c>
      <c r="F46" s="12" t="s">
        <v>39</v>
      </c>
      <c r="G46" s="13">
        <f t="shared" si="2"/>
        <v>2024</v>
      </c>
      <c r="H46" s="19" t="s">
        <v>19</v>
      </c>
      <c r="I46" s="25">
        <v>10</v>
      </c>
      <c r="J46" s="22">
        <v>1533000</v>
      </c>
      <c r="K46" s="13" t="s">
        <v>20</v>
      </c>
      <c r="L46" s="17">
        <v>30</v>
      </c>
      <c r="M46" s="18" t="s">
        <v>21</v>
      </c>
      <c r="N46" s="18" t="s">
        <v>22</v>
      </c>
      <c r="O46" s="18" t="s">
        <v>23</v>
      </c>
      <c r="P46" s="18" t="s">
        <v>24</v>
      </c>
      <c r="Q46" s="18" t="s">
        <v>24</v>
      </c>
      <c r="R46" s="18" t="s">
        <v>24</v>
      </c>
      <c r="S46" s="49"/>
      <c r="T46" s="49"/>
    </row>
    <row r="47" spans="1:20" ht="24" x14ac:dyDescent="0.25">
      <c r="A47" s="9" t="s">
        <v>85</v>
      </c>
      <c r="B47" s="9" t="s">
        <v>178</v>
      </c>
      <c r="C47" s="10" t="s">
        <v>33</v>
      </c>
      <c r="D47" s="11">
        <v>44963</v>
      </c>
      <c r="E47" s="12">
        <f t="shared" si="1"/>
        <v>2</v>
      </c>
      <c r="F47" s="12" t="s">
        <v>38</v>
      </c>
      <c r="G47" s="13">
        <f t="shared" si="2"/>
        <v>2023</v>
      </c>
      <c r="H47" s="19" t="s">
        <v>19</v>
      </c>
      <c r="I47" s="25">
        <v>20</v>
      </c>
      <c r="J47" s="15">
        <v>1300000</v>
      </c>
      <c r="K47" s="13" t="s">
        <v>20</v>
      </c>
      <c r="L47" s="17">
        <v>30</v>
      </c>
      <c r="M47" s="18" t="s">
        <v>21</v>
      </c>
      <c r="N47" s="18" t="s">
        <v>22</v>
      </c>
      <c r="O47" s="18" t="s">
        <v>23</v>
      </c>
      <c r="P47" s="18" t="s">
        <v>24</v>
      </c>
      <c r="Q47" s="18" t="s">
        <v>161</v>
      </c>
      <c r="R47" s="18" t="s">
        <v>162</v>
      </c>
      <c r="S47" s="49"/>
      <c r="T47" s="49"/>
    </row>
    <row r="48" spans="1:20" ht="24" x14ac:dyDescent="0.25">
      <c r="A48" s="9" t="s">
        <v>86</v>
      </c>
      <c r="B48" s="9" t="s">
        <v>179</v>
      </c>
      <c r="C48" s="10" t="s">
        <v>17</v>
      </c>
      <c r="D48" s="11">
        <v>45524</v>
      </c>
      <c r="E48" s="12">
        <f t="shared" si="1"/>
        <v>8</v>
      </c>
      <c r="F48" s="12" t="s">
        <v>18</v>
      </c>
      <c r="G48" s="13">
        <f t="shared" si="2"/>
        <v>2024</v>
      </c>
      <c r="H48" s="19" t="s">
        <v>19</v>
      </c>
      <c r="I48" s="25">
        <v>8</v>
      </c>
      <c r="J48" s="22">
        <v>2800000</v>
      </c>
      <c r="K48" s="13" t="s">
        <v>20</v>
      </c>
      <c r="L48" s="17">
        <v>30</v>
      </c>
      <c r="M48" s="18" t="s">
        <v>21</v>
      </c>
      <c r="N48" s="18" t="s">
        <v>23</v>
      </c>
      <c r="O48" s="18" t="s">
        <v>23</v>
      </c>
      <c r="P48" s="18" t="s">
        <v>24</v>
      </c>
      <c r="Q48" s="18" t="s">
        <v>24</v>
      </c>
      <c r="R48" s="18" t="s">
        <v>24</v>
      </c>
      <c r="S48" s="49"/>
      <c r="T48" s="49"/>
    </row>
    <row r="49" spans="1:20" x14ac:dyDescent="0.25">
      <c r="A49" s="9" t="s">
        <v>87</v>
      </c>
      <c r="B49" s="9" t="s">
        <v>177</v>
      </c>
      <c r="C49" s="10" t="s">
        <v>33</v>
      </c>
      <c r="D49" s="11">
        <v>45531</v>
      </c>
      <c r="E49" s="12">
        <f t="shared" si="1"/>
        <v>8</v>
      </c>
      <c r="F49" s="12" t="s">
        <v>18</v>
      </c>
      <c r="G49" s="13">
        <f t="shared" si="2"/>
        <v>2024</v>
      </c>
      <c r="H49" s="19" t="s">
        <v>19</v>
      </c>
      <c r="I49" s="25">
        <v>15</v>
      </c>
      <c r="J49" s="15">
        <v>1300000</v>
      </c>
      <c r="K49" s="13" t="s">
        <v>20</v>
      </c>
      <c r="L49" s="17">
        <v>30</v>
      </c>
      <c r="M49" s="18" t="s">
        <v>21</v>
      </c>
      <c r="N49" s="18" t="s">
        <v>22</v>
      </c>
      <c r="O49" s="18" t="s">
        <v>23</v>
      </c>
      <c r="P49" s="18" t="s">
        <v>24</v>
      </c>
      <c r="Q49" s="18" t="s">
        <v>24</v>
      </c>
      <c r="R49" s="18" t="s">
        <v>24</v>
      </c>
      <c r="S49" s="49"/>
      <c r="T49" s="49"/>
    </row>
    <row r="50" spans="1:20" x14ac:dyDescent="0.25">
      <c r="A50" s="9" t="s">
        <v>88</v>
      </c>
      <c r="B50" s="9" t="s">
        <v>177</v>
      </c>
      <c r="C50" s="10" t="s">
        <v>33</v>
      </c>
      <c r="D50" s="11">
        <v>45727</v>
      </c>
      <c r="E50" s="12">
        <f t="shared" si="1"/>
        <v>3</v>
      </c>
      <c r="F50" s="12" t="s">
        <v>35</v>
      </c>
      <c r="G50" s="13">
        <f t="shared" si="2"/>
        <v>2025</v>
      </c>
      <c r="H50" s="19" t="s">
        <v>19</v>
      </c>
      <c r="I50" s="16">
        <v>10</v>
      </c>
      <c r="J50" s="15">
        <v>612857</v>
      </c>
      <c r="K50" s="13" t="s">
        <v>20</v>
      </c>
      <c r="L50" s="17">
        <v>30</v>
      </c>
      <c r="M50" s="18" t="s">
        <v>21</v>
      </c>
      <c r="N50" s="18" t="s">
        <v>22</v>
      </c>
      <c r="O50" s="18" t="s">
        <v>23</v>
      </c>
      <c r="P50" s="18" t="s">
        <v>24</v>
      </c>
      <c r="Q50" s="18" t="s">
        <v>24</v>
      </c>
      <c r="R50" s="18" t="s">
        <v>24</v>
      </c>
      <c r="S50" s="49"/>
      <c r="T50" s="49"/>
    </row>
    <row r="51" spans="1:20" x14ac:dyDescent="0.25">
      <c r="A51" s="9" t="s">
        <v>89</v>
      </c>
      <c r="B51" s="9" t="s">
        <v>177</v>
      </c>
      <c r="C51" s="10" t="s">
        <v>33</v>
      </c>
      <c r="D51" s="11">
        <v>45484</v>
      </c>
      <c r="E51" s="12">
        <f t="shared" si="1"/>
        <v>7</v>
      </c>
      <c r="F51" s="12" t="s">
        <v>28</v>
      </c>
      <c r="G51" s="13">
        <f t="shared" si="2"/>
        <v>2024</v>
      </c>
      <c r="H51" s="19" t="s">
        <v>19</v>
      </c>
      <c r="I51" s="25">
        <v>10</v>
      </c>
      <c r="J51" s="22">
        <v>1750000</v>
      </c>
      <c r="K51" s="13" t="s">
        <v>20</v>
      </c>
      <c r="L51" s="17">
        <v>30</v>
      </c>
      <c r="M51" s="18" t="s">
        <v>21</v>
      </c>
      <c r="N51" s="18" t="s">
        <v>22</v>
      </c>
      <c r="O51" s="18" t="s">
        <v>23</v>
      </c>
      <c r="P51" s="18" t="s">
        <v>24</v>
      </c>
      <c r="Q51" s="18" t="s">
        <v>24</v>
      </c>
      <c r="R51" s="18" t="s">
        <v>24</v>
      </c>
      <c r="S51" s="49"/>
      <c r="T51" s="49"/>
    </row>
    <row r="52" spans="1:20" x14ac:dyDescent="0.25">
      <c r="A52" s="9" t="s">
        <v>90</v>
      </c>
      <c r="B52" s="9" t="s">
        <v>177</v>
      </c>
      <c r="C52" s="10" t="s">
        <v>25</v>
      </c>
      <c r="D52" s="11">
        <v>44963</v>
      </c>
      <c r="E52" s="12">
        <f t="shared" si="1"/>
        <v>2</v>
      </c>
      <c r="F52" s="12" t="s">
        <v>38</v>
      </c>
      <c r="G52" s="13">
        <f t="shared" si="2"/>
        <v>2023</v>
      </c>
      <c r="H52" s="19" t="s">
        <v>19</v>
      </c>
      <c r="I52" s="25">
        <v>10</v>
      </c>
      <c r="J52" s="21">
        <v>1366667</v>
      </c>
      <c r="K52" s="13" t="s">
        <v>20</v>
      </c>
      <c r="L52" s="17">
        <v>30</v>
      </c>
      <c r="M52" s="18" t="s">
        <v>21</v>
      </c>
      <c r="N52" s="18" t="s">
        <v>22</v>
      </c>
      <c r="O52" s="18" t="s">
        <v>23</v>
      </c>
      <c r="P52" s="18" t="s">
        <v>24</v>
      </c>
      <c r="Q52" s="18" t="s">
        <v>24</v>
      </c>
      <c r="R52" s="18" t="s">
        <v>24</v>
      </c>
      <c r="S52" s="49"/>
      <c r="T52" s="49"/>
    </row>
    <row r="53" spans="1:20" ht="24" x14ac:dyDescent="0.25">
      <c r="A53" s="9" t="s">
        <v>91</v>
      </c>
      <c r="B53" s="9" t="s">
        <v>177</v>
      </c>
      <c r="C53" s="10" t="s">
        <v>33</v>
      </c>
      <c r="D53" s="11">
        <v>44978</v>
      </c>
      <c r="E53" s="12">
        <f t="shared" si="1"/>
        <v>2</v>
      </c>
      <c r="F53" s="12" t="s">
        <v>38</v>
      </c>
      <c r="G53" s="13">
        <f t="shared" si="2"/>
        <v>2023</v>
      </c>
      <c r="H53" s="19" t="s">
        <v>19</v>
      </c>
      <c r="I53" s="25">
        <v>80</v>
      </c>
      <c r="J53" s="15">
        <v>1206667</v>
      </c>
      <c r="K53" s="13" t="s">
        <v>20</v>
      </c>
      <c r="L53" s="17">
        <v>30</v>
      </c>
      <c r="M53" s="18" t="s">
        <v>21</v>
      </c>
      <c r="N53" s="18" t="s">
        <v>22</v>
      </c>
      <c r="O53" s="18" t="s">
        <v>23</v>
      </c>
      <c r="P53" s="18" t="s">
        <v>24</v>
      </c>
      <c r="Q53" s="18" t="s">
        <v>161</v>
      </c>
      <c r="R53" s="18" t="s">
        <v>162</v>
      </c>
      <c r="S53" s="49"/>
      <c r="T53" s="49"/>
    </row>
    <row r="54" spans="1:20" ht="24" x14ac:dyDescent="0.25">
      <c r="A54" s="9" t="s">
        <v>92</v>
      </c>
      <c r="B54" s="9" t="s">
        <v>177</v>
      </c>
      <c r="C54" s="10" t="s">
        <v>33</v>
      </c>
      <c r="D54" s="11">
        <v>45317</v>
      </c>
      <c r="E54" s="12">
        <f t="shared" si="1"/>
        <v>1</v>
      </c>
      <c r="F54" s="12" t="s">
        <v>36</v>
      </c>
      <c r="G54" s="13">
        <f t="shared" si="2"/>
        <v>2024</v>
      </c>
      <c r="H54" s="19" t="s">
        <v>19</v>
      </c>
      <c r="I54" s="25">
        <v>30</v>
      </c>
      <c r="J54" s="15">
        <v>1324700</v>
      </c>
      <c r="K54" s="13" t="s">
        <v>20</v>
      </c>
      <c r="L54" s="17">
        <v>30</v>
      </c>
      <c r="M54" s="18" t="s">
        <v>21</v>
      </c>
      <c r="N54" s="18" t="s">
        <v>22</v>
      </c>
      <c r="O54" s="18" t="s">
        <v>23</v>
      </c>
      <c r="P54" s="18" t="s">
        <v>24</v>
      </c>
      <c r="Q54" s="18" t="s">
        <v>161</v>
      </c>
      <c r="R54" s="18" t="s">
        <v>162</v>
      </c>
      <c r="S54" s="49"/>
      <c r="T54" s="49"/>
    </row>
    <row r="55" spans="1:20" x14ac:dyDescent="0.25">
      <c r="A55" s="9" t="s">
        <v>93</v>
      </c>
      <c r="B55" s="9" t="s">
        <v>178</v>
      </c>
      <c r="C55" s="10" t="s">
        <v>33</v>
      </c>
      <c r="D55" s="11">
        <v>45686</v>
      </c>
      <c r="E55" s="12">
        <f t="shared" si="1"/>
        <v>1</v>
      </c>
      <c r="F55" s="12" t="s">
        <v>36</v>
      </c>
      <c r="G55" s="13">
        <f t="shared" si="2"/>
        <v>2025</v>
      </c>
      <c r="H55" s="19" t="s">
        <v>19</v>
      </c>
      <c r="I55" s="16">
        <v>7</v>
      </c>
      <c r="J55" s="15">
        <v>1500000</v>
      </c>
      <c r="K55" s="13" t="s">
        <v>20</v>
      </c>
      <c r="L55" s="17">
        <v>30</v>
      </c>
      <c r="M55" s="18" t="s">
        <v>21</v>
      </c>
      <c r="N55" s="18" t="s">
        <v>22</v>
      </c>
      <c r="O55" s="18" t="s">
        <v>23</v>
      </c>
      <c r="P55" s="18" t="s">
        <v>24</v>
      </c>
      <c r="Q55" s="18" t="s">
        <v>24</v>
      </c>
      <c r="R55" s="18" t="s">
        <v>24</v>
      </c>
      <c r="S55" s="49"/>
      <c r="T55" s="49"/>
    </row>
    <row r="56" spans="1:20" ht="24" x14ac:dyDescent="0.25">
      <c r="A56" s="9" t="s">
        <v>94</v>
      </c>
      <c r="B56" s="9" t="s">
        <v>179</v>
      </c>
      <c r="C56" s="10" t="s">
        <v>25</v>
      </c>
      <c r="D56" s="11">
        <v>44862</v>
      </c>
      <c r="E56" s="12">
        <f t="shared" si="1"/>
        <v>10</v>
      </c>
      <c r="F56" s="12" t="s">
        <v>166</v>
      </c>
      <c r="G56" s="13">
        <f t="shared" si="2"/>
        <v>2022</v>
      </c>
      <c r="H56" s="19" t="s">
        <v>19</v>
      </c>
      <c r="I56" s="25">
        <v>30</v>
      </c>
      <c r="J56" s="15">
        <v>1000000</v>
      </c>
      <c r="K56" s="13" t="s">
        <v>20</v>
      </c>
      <c r="L56" s="17">
        <v>30</v>
      </c>
      <c r="M56" s="18" t="s">
        <v>21</v>
      </c>
      <c r="N56" s="18" t="s">
        <v>22</v>
      </c>
      <c r="O56" s="18" t="s">
        <v>23</v>
      </c>
      <c r="P56" s="18" t="s">
        <v>24</v>
      </c>
      <c r="Q56" s="18" t="s">
        <v>161</v>
      </c>
      <c r="R56" s="18" t="s">
        <v>162</v>
      </c>
      <c r="S56" s="49"/>
      <c r="T56" s="49"/>
    </row>
    <row r="57" spans="1:20" ht="24" x14ac:dyDescent="0.25">
      <c r="A57" s="9" t="s">
        <v>95</v>
      </c>
      <c r="B57" s="9" t="s">
        <v>177</v>
      </c>
      <c r="C57" s="10" t="s">
        <v>25</v>
      </c>
      <c r="D57" s="11">
        <v>44959</v>
      </c>
      <c r="E57" s="12">
        <f t="shared" si="1"/>
        <v>2</v>
      </c>
      <c r="F57" s="12" t="s">
        <v>38</v>
      </c>
      <c r="G57" s="13">
        <f t="shared" si="2"/>
        <v>2023</v>
      </c>
      <c r="H57" s="19" t="s">
        <v>19</v>
      </c>
      <c r="I57" s="25">
        <v>15</v>
      </c>
      <c r="J57" s="15">
        <v>1160000</v>
      </c>
      <c r="K57" s="13" t="s">
        <v>20</v>
      </c>
      <c r="L57" s="17">
        <v>15</v>
      </c>
      <c r="M57" s="18" t="s">
        <v>21</v>
      </c>
      <c r="N57" s="18" t="s">
        <v>22</v>
      </c>
      <c r="O57" s="18" t="s">
        <v>23</v>
      </c>
      <c r="P57" s="18" t="s">
        <v>24</v>
      </c>
      <c r="Q57" s="18" t="s">
        <v>161</v>
      </c>
      <c r="R57" s="18" t="s">
        <v>162</v>
      </c>
      <c r="S57" s="49"/>
      <c r="T57" s="49"/>
    </row>
    <row r="58" spans="1:20" ht="24" x14ac:dyDescent="0.25">
      <c r="A58" s="9" t="s">
        <v>96</v>
      </c>
      <c r="B58" s="9" t="s">
        <v>178</v>
      </c>
      <c r="C58" s="10" t="s">
        <v>17</v>
      </c>
      <c r="D58" s="11">
        <v>45315</v>
      </c>
      <c r="E58" s="12">
        <f t="shared" si="1"/>
        <v>1</v>
      </c>
      <c r="F58" s="12" t="s">
        <v>36</v>
      </c>
      <c r="G58" s="13">
        <f t="shared" si="2"/>
        <v>2024</v>
      </c>
      <c r="H58" s="19" t="s">
        <v>19</v>
      </c>
      <c r="I58" s="25">
        <v>10</v>
      </c>
      <c r="J58" s="15">
        <v>1883333</v>
      </c>
      <c r="K58" s="13" t="s">
        <v>20</v>
      </c>
      <c r="L58" s="17">
        <v>30</v>
      </c>
      <c r="M58" s="18" t="s">
        <v>21</v>
      </c>
      <c r="N58" s="18" t="s">
        <v>22</v>
      </c>
      <c r="O58" s="18" t="s">
        <v>23</v>
      </c>
      <c r="P58" s="18" t="s">
        <v>24</v>
      </c>
      <c r="Q58" s="18" t="s">
        <v>161</v>
      </c>
      <c r="R58" s="18" t="s">
        <v>162</v>
      </c>
      <c r="S58" s="49"/>
      <c r="T58" s="49"/>
    </row>
    <row r="59" spans="1:20" ht="24" x14ac:dyDescent="0.25">
      <c r="A59" s="9" t="s">
        <v>97</v>
      </c>
      <c r="B59" s="9" t="s">
        <v>179</v>
      </c>
      <c r="C59" s="10" t="s">
        <v>29</v>
      </c>
      <c r="D59" s="11">
        <v>45098</v>
      </c>
      <c r="E59" s="12">
        <f t="shared" si="1"/>
        <v>6</v>
      </c>
      <c r="F59" s="12" t="s">
        <v>30</v>
      </c>
      <c r="G59" s="13">
        <f t="shared" si="2"/>
        <v>2023</v>
      </c>
      <c r="H59" s="19" t="s">
        <v>19</v>
      </c>
      <c r="I59" s="25">
        <v>10</v>
      </c>
      <c r="J59" s="15">
        <v>1160000</v>
      </c>
      <c r="K59" s="13" t="s">
        <v>20</v>
      </c>
      <c r="L59" s="17">
        <v>30</v>
      </c>
      <c r="M59" s="18" t="s">
        <v>21</v>
      </c>
      <c r="N59" s="18" t="s">
        <v>22</v>
      </c>
      <c r="O59" s="18" t="s">
        <v>167</v>
      </c>
      <c r="P59" s="18" t="s">
        <v>24</v>
      </c>
      <c r="Q59" s="18" t="s">
        <v>161</v>
      </c>
      <c r="R59" s="18" t="s">
        <v>162</v>
      </c>
      <c r="S59" s="49"/>
      <c r="T59" s="49"/>
    </row>
    <row r="60" spans="1:20" ht="24" x14ac:dyDescent="0.25">
      <c r="A60" s="9" t="s">
        <v>98</v>
      </c>
      <c r="B60" s="9" t="s">
        <v>177</v>
      </c>
      <c r="C60" s="10" t="s">
        <v>33</v>
      </c>
      <c r="D60" s="11">
        <v>45100</v>
      </c>
      <c r="E60" s="12">
        <f t="shared" si="1"/>
        <v>6</v>
      </c>
      <c r="F60" s="12" t="s">
        <v>30</v>
      </c>
      <c r="G60" s="13">
        <f t="shared" si="2"/>
        <v>2023</v>
      </c>
      <c r="H60" s="19" t="s">
        <v>19</v>
      </c>
      <c r="I60" s="34">
        <v>16</v>
      </c>
      <c r="J60" s="15">
        <v>1160000</v>
      </c>
      <c r="K60" s="13" t="s">
        <v>20</v>
      </c>
      <c r="L60" s="17">
        <v>30</v>
      </c>
      <c r="M60" s="18" t="s">
        <v>21</v>
      </c>
      <c r="N60" s="18" t="s">
        <v>22</v>
      </c>
      <c r="O60" s="18" t="s">
        <v>23</v>
      </c>
      <c r="P60" s="18" t="s">
        <v>24</v>
      </c>
      <c r="Q60" s="18" t="s">
        <v>161</v>
      </c>
      <c r="R60" s="18" t="s">
        <v>162</v>
      </c>
      <c r="S60" s="49"/>
      <c r="T60" s="49"/>
    </row>
    <row r="61" spans="1:20" ht="24" x14ac:dyDescent="0.25">
      <c r="A61" s="9" t="s">
        <v>99</v>
      </c>
      <c r="B61" s="9" t="s">
        <v>177</v>
      </c>
      <c r="C61" s="10" t="s">
        <v>29</v>
      </c>
      <c r="D61" s="11">
        <v>45140</v>
      </c>
      <c r="E61" s="12">
        <f t="shared" si="1"/>
        <v>8</v>
      </c>
      <c r="F61" s="12" t="s">
        <v>18</v>
      </c>
      <c r="G61" s="13">
        <f t="shared" si="2"/>
        <v>2023</v>
      </c>
      <c r="H61" s="19" t="s">
        <v>19</v>
      </c>
      <c r="I61" s="25">
        <v>19</v>
      </c>
      <c r="J61" s="15">
        <v>1275000</v>
      </c>
      <c r="K61" s="13" t="s">
        <v>20</v>
      </c>
      <c r="L61" s="17">
        <v>30</v>
      </c>
      <c r="M61" s="18" t="s">
        <v>21</v>
      </c>
      <c r="N61" s="18" t="s">
        <v>22</v>
      </c>
      <c r="O61" s="18" t="s">
        <v>23</v>
      </c>
      <c r="P61" s="18" t="s">
        <v>24</v>
      </c>
      <c r="Q61" s="18" t="s">
        <v>161</v>
      </c>
      <c r="R61" s="18" t="s">
        <v>162</v>
      </c>
      <c r="S61" s="49"/>
      <c r="T61" s="49"/>
    </row>
    <row r="62" spans="1:20" ht="24" x14ac:dyDescent="0.25">
      <c r="A62" s="9" t="s">
        <v>100</v>
      </c>
      <c r="B62" s="9" t="s">
        <v>177</v>
      </c>
      <c r="C62" s="10" t="s">
        <v>33</v>
      </c>
      <c r="D62" s="11">
        <v>45100</v>
      </c>
      <c r="E62" s="12">
        <f t="shared" si="1"/>
        <v>6</v>
      </c>
      <c r="F62" s="12" t="s">
        <v>30</v>
      </c>
      <c r="G62" s="13">
        <f t="shared" si="2"/>
        <v>2023</v>
      </c>
      <c r="H62" s="19" t="s">
        <v>19</v>
      </c>
      <c r="I62" s="34">
        <v>16</v>
      </c>
      <c r="J62" s="15">
        <v>1160000</v>
      </c>
      <c r="K62" s="13" t="s">
        <v>20</v>
      </c>
      <c r="L62" s="17">
        <v>30</v>
      </c>
      <c r="M62" s="18" t="s">
        <v>21</v>
      </c>
      <c r="N62" s="18" t="s">
        <v>22</v>
      </c>
      <c r="O62" s="18" t="s">
        <v>23</v>
      </c>
      <c r="P62" s="18" t="s">
        <v>24</v>
      </c>
      <c r="Q62" s="18" t="s">
        <v>161</v>
      </c>
      <c r="R62" s="18" t="s">
        <v>162</v>
      </c>
      <c r="S62" s="49"/>
      <c r="T62" s="49"/>
    </row>
    <row r="63" spans="1:20" ht="24" x14ac:dyDescent="0.25">
      <c r="A63" s="9" t="s">
        <v>101</v>
      </c>
      <c r="B63" s="9" t="s">
        <v>177</v>
      </c>
      <c r="C63" s="10" t="s">
        <v>33</v>
      </c>
      <c r="D63" s="11">
        <v>45100</v>
      </c>
      <c r="E63" s="12">
        <f t="shared" si="1"/>
        <v>6</v>
      </c>
      <c r="F63" s="12" t="s">
        <v>30</v>
      </c>
      <c r="G63" s="13">
        <f t="shared" si="2"/>
        <v>2023</v>
      </c>
      <c r="H63" s="19" t="s">
        <v>19</v>
      </c>
      <c r="I63" s="34">
        <v>16</v>
      </c>
      <c r="J63" s="15">
        <v>1160000</v>
      </c>
      <c r="K63" s="13" t="s">
        <v>20</v>
      </c>
      <c r="L63" s="17">
        <v>30</v>
      </c>
      <c r="M63" s="18" t="s">
        <v>21</v>
      </c>
      <c r="N63" s="18" t="s">
        <v>22</v>
      </c>
      <c r="O63" s="18" t="s">
        <v>23</v>
      </c>
      <c r="P63" s="18" t="s">
        <v>24</v>
      </c>
      <c r="Q63" s="18" t="s">
        <v>161</v>
      </c>
      <c r="R63" s="18" t="s">
        <v>162</v>
      </c>
      <c r="S63" s="49"/>
      <c r="T63" s="49"/>
    </row>
    <row r="64" spans="1:20" ht="24" x14ac:dyDescent="0.25">
      <c r="A64" s="9" t="s">
        <v>102</v>
      </c>
      <c r="B64" s="9" t="s">
        <v>177</v>
      </c>
      <c r="C64" s="10" t="s">
        <v>33</v>
      </c>
      <c r="D64" s="11">
        <v>45100</v>
      </c>
      <c r="E64" s="12">
        <f t="shared" si="1"/>
        <v>6</v>
      </c>
      <c r="F64" s="12" t="s">
        <v>30</v>
      </c>
      <c r="G64" s="13">
        <f t="shared" si="2"/>
        <v>2023</v>
      </c>
      <c r="H64" s="19" t="s">
        <v>19</v>
      </c>
      <c r="I64" s="34">
        <v>16</v>
      </c>
      <c r="J64" s="15">
        <v>1160000</v>
      </c>
      <c r="K64" s="13" t="s">
        <v>20</v>
      </c>
      <c r="L64" s="17">
        <v>30</v>
      </c>
      <c r="M64" s="18" t="s">
        <v>21</v>
      </c>
      <c r="N64" s="18" t="s">
        <v>22</v>
      </c>
      <c r="O64" s="18" t="s">
        <v>23</v>
      </c>
      <c r="P64" s="18" t="s">
        <v>24</v>
      </c>
      <c r="Q64" s="18" t="s">
        <v>161</v>
      </c>
      <c r="R64" s="18" t="s">
        <v>162</v>
      </c>
      <c r="S64" s="49"/>
      <c r="T64" s="49"/>
    </row>
    <row r="65" spans="1:20" x14ac:dyDescent="0.25">
      <c r="A65" s="9" t="s">
        <v>103</v>
      </c>
      <c r="B65" s="9" t="s">
        <v>177</v>
      </c>
      <c r="C65" s="10" t="s">
        <v>33</v>
      </c>
      <c r="D65" s="11">
        <v>41964</v>
      </c>
      <c r="E65" s="12">
        <f t="shared" si="1"/>
        <v>11</v>
      </c>
      <c r="F65" s="12" t="s">
        <v>164</v>
      </c>
      <c r="G65" s="13">
        <f t="shared" si="2"/>
        <v>2014</v>
      </c>
      <c r="H65" s="19" t="s">
        <v>19</v>
      </c>
      <c r="I65" s="25">
        <v>35</v>
      </c>
      <c r="J65" s="15">
        <v>644350</v>
      </c>
      <c r="K65" s="13" t="s">
        <v>20</v>
      </c>
      <c r="L65" s="17">
        <v>30</v>
      </c>
      <c r="M65" s="18" t="s">
        <v>21</v>
      </c>
      <c r="N65" s="18" t="s">
        <v>22</v>
      </c>
      <c r="O65" s="18" t="s">
        <v>23</v>
      </c>
      <c r="P65" s="18" t="s">
        <v>24</v>
      </c>
      <c r="Q65" s="18" t="s">
        <v>24</v>
      </c>
      <c r="R65" s="18" t="s">
        <v>24</v>
      </c>
      <c r="S65" s="49"/>
      <c r="T65" s="49"/>
    </row>
    <row r="66" spans="1:20" ht="24" x14ac:dyDescent="0.25">
      <c r="A66" s="9" t="s">
        <v>104</v>
      </c>
      <c r="B66" s="9" t="s">
        <v>178</v>
      </c>
      <c r="C66" s="10" t="s">
        <v>25</v>
      </c>
      <c r="D66" s="11">
        <v>44785</v>
      </c>
      <c r="E66" s="12">
        <f t="shared" si="1"/>
        <v>8</v>
      </c>
      <c r="F66" s="12" t="s">
        <v>18</v>
      </c>
      <c r="G66" s="13">
        <f t="shared" si="2"/>
        <v>2022</v>
      </c>
      <c r="H66" s="19" t="s">
        <v>19</v>
      </c>
      <c r="I66" s="25">
        <v>18</v>
      </c>
      <c r="J66" s="15">
        <v>1000000</v>
      </c>
      <c r="K66" s="13" t="s">
        <v>20</v>
      </c>
      <c r="L66" s="17">
        <v>30</v>
      </c>
      <c r="M66" s="18" t="s">
        <v>21</v>
      </c>
      <c r="N66" s="18" t="s">
        <v>22</v>
      </c>
      <c r="O66" s="18" t="s">
        <v>23</v>
      </c>
      <c r="P66" s="18" t="s">
        <v>24</v>
      </c>
      <c r="Q66" s="18" t="s">
        <v>161</v>
      </c>
      <c r="R66" s="18" t="s">
        <v>162</v>
      </c>
      <c r="S66" s="49"/>
      <c r="T66" s="49"/>
    </row>
    <row r="67" spans="1:20" ht="24" x14ac:dyDescent="0.25">
      <c r="A67" s="9" t="s">
        <v>105</v>
      </c>
      <c r="B67" s="9" t="s">
        <v>179</v>
      </c>
      <c r="C67" s="10" t="s">
        <v>33</v>
      </c>
      <c r="D67" s="11">
        <v>44761</v>
      </c>
      <c r="E67" s="12">
        <f t="shared" ref="E67:E120" si="3">MONTH(D67)</f>
        <v>7</v>
      </c>
      <c r="F67" s="12" t="s">
        <v>28</v>
      </c>
      <c r="G67" s="13">
        <f t="shared" si="2"/>
        <v>2022</v>
      </c>
      <c r="H67" s="19" t="s">
        <v>19</v>
      </c>
      <c r="I67" s="25">
        <v>16</v>
      </c>
      <c r="J67" s="15">
        <v>1200000</v>
      </c>
      <c r="K67" s="13" t="s">
        <v>20</v>
      </c>
      <c r="L67" s="17">
        <v>30</v>
      </c>
      <c r="M67" s="18" t="s">
        <v>21</v>
      </c>
      <c r="N67" s="18" t="s">
        <v>22</v>
      </c>
      <c r="O67" s="18" t="s">
        <v>23</v>
      </c>
      <c r="P67" s="18" t="s">
        <v>24</v>
      </c>
      <c r="Q67" s="18" t="s">
        <v>161</v>
      </c>
      <c r="R67" s="18" t="s">
        <v>162</v>
      </c>
      <c r="S67" s="49"/>
      <c r="T67" s="49"/>
    </row>
    <row r="68" spans="1:20" ht="24" x14ac:dyDescent="0.25">
      <c r="A68" s="9" t="s">
        <v>106</v>
      </c>
      <c r="B68" s="9" t="s">
        <v>177</v>
      </c>
      <c r="C68" s="10" t="s">
        <v>33</v>
      </c>
      <c r="D68" s="11">
        <v>44798</v>
      </c>
      <c r="E68" s="12">
        <f t="shared" si="3"/>
        <v>8</v>
      </c>
      <c r="F68" s="12" t="s">
        <v>18</v>
      </c>
      <c r="G68" s="13">
        <f t="shared" si="2"/>
        <v>2022</v>
      </c>
      <c r="H68" s="19" t="s">
        <v>19</v>
      </c>
      <c r="I68" s="25">
        <v>10</v>
      </c>
      <c r="J68" s="15">
        <v>1000000</v>
      </c>
      <c r="K68" s="13" t="s">
        <v>20</v>
      </c>
      <c r="L68" s="17">
        <v>30</v>
      </c>
      <c r="M68" s="18" t="s">
        <v>21</v>
      </c>
      <c r="N68" s="18" t="s">
        <v>22</v>
      </c>
      <c r="O68" s="18" t="s">
        <v>167</v>
      </c>
      <c r="P68" s="18" t="s">
        <v>24</v>
      </c>
      <c r="Q68" s="18" t="s">
        <v>161</v>
      </c>
      <c r="R68" s="18" t="s">
        <v>162</v>
      </c>
      <c r="S68" s="49"/>
      <c r="T68" s="49"/>
    </row>
    <row r="69" spans="1:20" ht="24" x14ac:dyDescent="0.25">
      <c r="A69" s="9" t="s">
        <v>107</v>
      </c>
      <c r="B69" s="9" t="s">
        <v>178</v>
      </c>
      <c r="C69" s="10" t="s">
        <v>29</v>
      </c>
      <c r="D69" s="11">
        <v>45075</v>
      </c>
      <c r="E69" s="12">
        <f t="shared" si="3"/>
        <v>5</v>
      </c>
      <c r="F69" s="12" t="s">
        <v>32</v>
      </c>
      <c r="G69" s="13">
        <f t="shared" si="2"/>
        <v>2023</v>
      </c>
      <c r="H69" s="19" t="s">
        <v>19</v>
      </c>
      <c r="I69" s="25">
        <v>40</v>
      </c>
      <c r="J69" s="15">
        <v>1160000</v>
      </c>
      <c r="K69" s="13" t="s">
        <v>20</v>
      </c>
      <c r="L69" s="17">
        <v>15</v>
      </c>
      <c r="M69" s="18" t="s">
        <v>21</v>
      </c>
      <c r="N69" s="18" t="s">
        <v>23</v>
      </c>
      <c r="O69" s="18" t="s">
        <v>23</v>
      </c>
      <c r="P69" s="18" t="s">
        <v>24</v>
      </c>
      <c r="Q69" s="18" t="s">
        <v>161</v>
      </c>
      <c r="R69" s="18" t="s">
        <v>162</v>
      </c>
      <c r="S69" s="49"/>
      <c r="T69" s="49"/>
    </row>
    <row r="70" spans="1:20" ht="24" x14ac:dyDescent="0.25">
      <c r="A70" s="9" t="s">
        <v>108</v>
      </c>
      <c r="B70" s="9" t="s">
        <v>179</v>
      </c>
      <c r="C70" s="10" t="s">
        <v>25</v>
      </c>
      <c r="D70" s="11">
        <v>45012</v>
      </c>
      <c r="E70" s="12">
        <f t="shared" si="3"/>
        <v>3</v>
      </c>
      <c r="F70" s="12" t="s">
        <v>35</v>
      </c>
      <c r="G70" s="13">
        <f t="shared" si="2"/>
        <v>2023</v>
      </c>
      <c r="H70" s="19" t="s">
        <v>19</v>
      </c>
      <c r="I70" s="25">
        <v>22</v>
      </c>
      <c r="J70" s="15">
        <v>1160000</v>
      </c>
      <c r="K70" s="13" t="s">
        <v>20</v>
      </c>
      <c r="L70" s="17">
        <v>30</v>
      </c>
      <c r="M70" s="18" t="s">
        <v>21</v>
      </c>
      <c r="N70" s="18" t="s">
        <v>22</v>
      </c>
      <c r="O70" s="18" t="s">
        <v>23</v>
      </c>
      <c r="P70" s="18" t="s">
        <v>24</v>
      </c>
      <c r="Q70" s="18" t="s">
        <v>161</v>
      </c>
      <c r="R70" s="18" t="s">
        <v>162</v>
      </c>
      <c r="S70" s="49"/>
      <c r="T70" s="49"/>
    </row>
    <row r="71" spans="1:20" ht="24" x14ac:dyDescent="0.25">
      <c r="A71" s="9" t="s">
        <v>109</v>
      </c>
      <c r="B71" s="9" t="s">
        <v>177</v>
      </c>
      <c r="C71" s="10" t="s">
        <v>33</v>
      </c>
      <c r="D71" s="11">
        <v>44798</v>
      </c>
      <c r="E71" s="12">
        <f t="shared" si="3"/>
        <v>8</v>
      </c>
      <c r="F71" s="12" t="s">
        <v>18</v>
      </c>
      <c r="G71" s="13">
        <f t="shared" si="2"/>
        <v>2022</v>
      </c>
      <c r="H71" s="19" t="s">
        <v>19</v>
      </c>
      <c r="I71" s="25">
        <v>10</v>
      </c>
      <c r="J71" s="15">
        <v>1000000</v>
      </c>
      <c r="K71" s="13" t="s">
        <v>20</v>
      </c>
      <c r="L71" s="17">
        <v>30</v>
      </c>
      <c r="M71" s="18" t="s">
        <v>21</v>
      </c>
      <c r="N71" s="18" t="s">
        <v>22</v>
      </c>
      <c r="O71" s="18" t="s">
        <v>167</v>
      </c>
      <c r="P71" s="18" t="s">
        <v>24</v>
      </c>
      <c r="Q71" s="18" t="s">
        <v>161</v>
      </c>
      <c r="R71" s="18" t="s">
        <v>162</v>
      </c>
      <c r="S71" s="49"/>
      <c r="T71" s="49"/>
    </row>
    <row r="72" spans="1:20" ht="24" x14ac:dyDescent="0.25">
      <c r="A72" s="9" t="s">
        <v>110</v>
      </c>
      <c r="B72" s="9" t="s">
        <v>177</v>
      </c>
      <c r="C72" s="10" t="s">
        <v>29</v>
      </c>
      <c r="D72" s="11">
        <v>44963</v>
      </c>
      <c r="E72" s="12">
        <f t="shared" si="3"/>
        <v>2</v>
      </c>
      <c r="F72" s="12" t="s">
        <v>38</v>
      </c>
      <c r="G72" s="13">
        <f t="shared" si="2"/>
        <v>2023</v>
      </c>
      <c r="H72" s="19" t="s">
        <v>19</v>
      </c>
      <c r="I72" s="25">
        <v>20</v>
      </c>
      <c r="J72" s="15">
        <v>1160000</v>
      </c>
      <c r="K72" s="13" t="s">
        <v>20</v>
      </c>
      <c r="L72" s="17">
        <v>30</v>
      </c>
      <c r="M72" s="18" t="s">
        <v>21</v>
      </c>
      <c r="N72" s="18" t="s">
        <v>22</v>
      </c>
      <c r="O72" s="18" t="s">
        <v>23</v>
      </c>
      <c r="P72" s="18" t="s">
        <v>24</v>
      </c>
      <c r="Q72" s="18" t="s">
        <v>161</v>
      </c>
      <c r="R72" s="18" t="s">
        <v>162</v>
      </c>
      <c r="S72" s="49"/>
      <c r="T72" s="49"/>
    </row>
    <row r="73" spans="1:20" x14ac:dyDescent="0.25">
      <c r="A73" s="9" t="s">
        <v>111</v>
      </c>
      <c r="B73" s="9" t="s">
        <v>177</v>
      </c>
      <c r="C73" s="10" t="s">
        <v>29</v>
      </c>
      <c r="D73" s="11">
        <v>44936</v>
      </c>
      <c r="E73" s="12">
        <f t="shared" si="3"/>
        <v>1</v>
      </c>
      <c r="F73" s="12" t="s">
        <v>36</v>
      </c>
      <c r="G73" s="13">
        <f t="shared" si="2"/>
        <v>2023</v>
      </c>
      <c r="H73" s="19" t="s">
        <v>19</v>
      </c>
      <c r="I73" s="16">
        <v>20</v>
      </c>
      <c r="J73" s="22">
        <v>1100000</v>
      </c>
      <c r="K73" s="13" t="s">
        <v>20</v>
      </c>
      <c r="L73" s="17">
        <v>15</v>
      </c>
      <c r="M73" s="18" t="s">
        <v>21</v>
      </c>
      <c r="N73" s="18" t="s">
        <v>22</v>
      </c>
      <c r="O73" s="18" t="s">
        <v>23</v>
      </c>
      <c r="P73" s="18" t="s">
        <v>24</v>
      </c>
      <c r="Q73" s="19" t="s">
        <v>161</v>
      </c>
      <c r="R73" s="19" t="s">
        <v>162</v>
      </c>
      <c r="S73" s="49"/>
      <c r="T73" s="49"/>
    </row>
    <row r="74" spans="1:20" x14ac:dyDescent="0.25">
      <c r="A74" s="9" t="s">
        <v>112</v>
      </c>
      <c r="B74" s="9" t="s">
        <v>177</v>
      </c>
      <c r="C74" s="10" t="s">
        <v>25</v>
      </c>
      <c r="D74" s="11">
        <v>44795</v>
      </c>
      <c r="E74" s="12">
        <f t="shared" si="3"/>
        <v>8</v>
      </c>
      <c r="F74" s="12" t="s">
        <v>18</v>
      </c>
      <c r="G74" s="13">
        <f t="shared" si="2"/>
        <v>2022</v>
      </c>
      <c r="H74" s="19" t="s">
        <v>19</v>
      </c>
      <c r="I74" s="16">
        <v>30</v>
      </c>
      <c r="J74" s="22">
        <v>1000000</v>
      </c>
      <c r="K74" s="13" t="s">
        <v>20</v>
      </c>
      <c r="L74" s="17">
        <v>30</v>
      </c>
      <c r="M74" s="18" t="s">
        <v>21</v>
      </c>
      <c r="N74" s="18" t="s">
        <v>22</v>
      </c>
      <c r="O74" s="18" t="s">
        <v>23</v>
      </c>
      <c r="P74" s="18" t="s">
        <v>24</v>
      </c>
      <c r="Q74" s="19" t="s">
        <v>161</v>
      </c>
      <c r="R74" s="19" t="s">
        <v>162</v>
      </c>
      <c r="S74" s="49"/>
      <c r="T74" s="49"/>
    </row>
    <row r="75" spans="1:20" x14ac:dyDescent="0.25">
      <c r="A75" s="9" t="s">
        <v>113</v>
      </c>
      <c r="B75" s="9" t="s">
        <v>177</v>
      </c>
      <c r="C75" s="10" t="s">
        <v>169</v>
      </c>
      <c r="D75" s="11">
        <v>44963</v>
      </c>
      <c r="E75" s="12">
        <f t="shared" si="3"/>
        <v>2</v>
      </c>
      <c r="F75" s="12" t="s">
        <v>38</v>
      </c>
      <c r="G75" s="13">
        <f t="shared" si="2"/>
        <v>2023</v>
      </c>
      <c r="H75" s="19" t="s">
        <v>19</v>
      </c>
      <c r="I75" s="16">
        <v>24</v>
      </c>
      <c r="J75" s="22">
        <v>1160000</v>
      </c>
      <c r="K75" s="13" t="s">
        <v>20</v>
      </c>
      <c r="L75" s="17">
        <v>15</v>
      </c>
      <c r="M75" s="18" t="s">
        <v>21</v>
      </c>
      <c r="N75" s="18" t="s">
        <v>22</v>
      </c>
      <c r="O75" s="18" t="s">
        <v>23</v>
      </c>
      <c r="P75" s="18" t="s">
        <v>24</v>
      </c>
      <c r="Q75" s="19" t="s">
        <v>161</v>
      </c>
      <c r="R75" s="19" t="s">
        <v>162</v>
      </c>
      <c r="S75" s="49"/>
      <c r="T75" s="49"/>
    </row>
    <row r="76" spans="1:20" x14ac:dyDescent="0.25">
      <c r="A76" s="9" t="s">
        <v>114</v>
      </c>
      <c r="B76" s="9" t="s">
        <v>177</v>
      </c>
      <c r="C76" s="10" t="s">
        <v>33</v>
      </c>
      <c r="D76" s="11">
        <v>44963</v>
      </c>
      <c r="E76" s="12">
        <f t="shared" si="3"/>
        <v>2</v>
      </c>
      <c r="F76" s="12" t="s">
        <v>38</v>
      </c>
      <c r="G76" s="13">
        <f t="shared" si="2"/>
        <v>2023</v>
      </c>
      <c r="H76" s="19" t="s">
        <v>19</v>
      </c>
      <c r="I76" s="16">
        <v>24</v>
      </c>
      <c r="J76" s="22">
        <v>1160000</v>
      </c>
      <c r="K76" s="13" t="s">
        <v>20</v>
      </c>
      <c r="L76" s="17">
        <v>15</v>
      </c>
      <c r="M76" s="18" t="s">
        <v>21</v>
      </c>
      <c r="N76" s="18" t="s">
        <v>22</v>
      </c>
      <c r="O76" s="18" t="s">
        <v>23</v>
      </c>
      <c r="P76" s="18" t="s">
        <v>24</v>
      </c>
      <c r="Q76" s="19" t="s">
        <v>161</v>
      </c>
      <c r="R76" s="19" t="s">
        <v>162</v>
      </c>
      <c r="S76" s="49"/>
      <c r="T76" s="49"/>
    </row>
    <row r="77" spans="1:20" ht="24" x14ac:dyDescent="0.25">
      <c r="A77" s="9" t="s">
        <v>115</v>
      </c>
      <c r="B77" s="9" t="s">
        <v>178</v>
      </c>
      <c r="C77" s="10" t="s">
        <v>33</v>
      </c>
      <c r="D77" s="11">
        <v>44805</v>
      </c>
      <c r="E77" s="12">
        <f t="shared" si="3"/>
        <v>9</v>
      </c>
      <c r="F77" s="12" t="s">
        <v>39</v>
      </c>
      <c r="G77" s="13">
        <f t="shared" si="2"/>
        <v>2022</v>
      </c>
      <c r="H77" s="19" t="s">
        <v>19</v>
      </c>
      <c r="I77" s="16">
        <v>10</v>
      </c>
      <c r="J77" s="35" t="s">
        <v>37</v>
      </c>
      <c r="K77" s="13" t="s">
        <v>20</v>
      </c>
      <c r="L77" s="17">
        <v>30</v>
      </c>
      <c r="M77" s="18" t="s">
        <v>21</v>
      </c>
      <c r="N77" s="18" t="s">
        <v>23</v>
      </c>
      <c r="O77" s="18" t="s">
        <v>23</v>
      </c>
      <c r="P77" s="18" t="s">
        <v>24</v>
      </c>
      <c r="Q77" s="18" t="s">
        <v>24</v>
      </c>
      <c r="R77" s="18" t="s">
        <v>24</v>
      </c>
      <c r="S77" s="49"/>
      <c r="T77" s="49"/>
    </row>
    <row r="78" spans="1:20" x14ac:dyDescent="0.25">
      <c r="A78" s="9" t="s">
        <v>116</v>
      </c>
      <c r="B78" s="9" t="s">
        <v>179</v>
      </c>
      <c r="C78" s="10" t="s">
        <v>33</v>
      </c>
      <c r="D78" s="11">
        <v>45231</v>
      </c>
      <c r="E78" s="12">
        <f t="shared" si="3"/>
        <v>11</v>
      </c>
      <c r="F78" s="12" t="s">
        <v>164</v>
      </c>
      <c r="G78" s="13">
        <f t="shared" si="2"/>
        <v>2023</v>
      </c>
      <c r="H78" s="19" t="s">
        <v>19</v>
      </c>
      <c r="I78" s="16">
        <v>120</v>
      </c>
      <c r="J78" s="35" t="s">
        <v>37</v>
      </c>
      <c r="K78" s="13" t="s">
        <v>20</v>
      </c>
      <c r="L78" s="17">
        <v>30</v>
      </c>
      <c r="M78" s="18" t="s">
        <v>21</v>
      </c>
      <c r="N78" s="18" t="s">
        <v>22</v>
      </c>
      <c r="O78" s="18" t="s">
        <v>23</v>
      </c>
      <c r="P78" s="18" t="s">
        <v>24</v>
      </c>
      <c r="Q78" s="19" t="s">
        <v>161</v>
      </c>
      <c r="R78" s="19" t="s">
        <v>162</v>
      </c>
      <c r="S78" s="49"/>
      <c r="T78" s="49"/>
    </row>
    <row r="79" spans="1:20" ht="24" x14ac:dyDescent="0.25">
      <c r="A79" s="9" t="s">
        <v>117</v>
      </c>
      <c r="B79" s="9" t="s">
        <v>177</v>
      </c>
      <c r="C79" s="10" t="s">
        <v>170</v>
      </c>
      <c r="D79" s="11">
        <v>43101</v>
      </c>
      <c r="E79" s="12">
        <f t="shared" si="3"/>
        <v>1</v>
      </c>
      <c r="F79" s="12" t="s">
        <v>36</v>
      </c>
      <c r="G79" s="13">
        <f t="shared" si="2"/>
        <v>2018</v>
      </c>
      <c r="H79" s="19" t="s">
        <v>171</v>
      </c>
      <c r="I79" s="36">
        <v>2</v>
      </c>
      <c r="J79" s="22">
        <v>869453</v>
      </c>
      <c r="K79" s="13" t="s">
        <v>20</v>
      </c>
      <c r="L79" s="17">
        <v>30</v>
      </c>
      <c r="M79" s="18" t="s">
        <v>21</v>
      </c>
      <c r="N79" s="18" t="s">
        <v>23</v>
      </c>
      <c r="O79" s="18" t="s">
        <v>23</v>
      </c>
      <c r="P79" s="18" t="s">
        <v>24</v>
      </c>
      <c r="Q79" s="18" t="s">
        <v>24</v>
      </c>
      <c r="R79" s="18" t="s">
        <v>24</v>
      </c>
      <c r="S79" s="49"/>
      <c r="T79" s="49"/>
    </row>
    <row r="80" spans="1:20" x14ac:dyDescent="0.25">
      <c r="A80" s="9" t="s">
        <v>118</v>
      </c>
      <c r="B80" s="9" t="s">
        <v>178</v>
      </c>
      <c r="C80" s="10" t="s">
        <v>170</v>
      </c>
      <c r="D80" s="11">
        <v>41730</v>
      </c>
      <c r="E80" s="12">
        <f t="shared" si="3"/>
        <v>4</v>
      </c>
      <c r="F80" s="12" t="s">
        <v>31</v>
      </c>
      <c r="G80" s="13">
        <f t="shared" si="2"/>
        <v>2014</v>
      </c>
      <c r="H80" s="19" t="s">
        <v>19</v>
      </c>
      <c r="I80" s="16">
        <v>6</v>
      </c>
      <c r="J80" s="22">
        <v>616000</v>
      </c>
      <c r="K80" s="13" t="s">
        <v>20</v>
      </c>
      <c r="L80" s="17">
        <v>15</v>
      </c>
      <c r="M80" s="18" t="s">
        <v>21</v>
      </c>
      <c r="N80" s="18" t="s">
        <v>22</v>
      </c>
      <c r="O80" s="18" t="s">
        <v>23</v>
      </c>
      <c r="P80" s="18" t="s">
        <v>24</v>
      </c>
      <c r="Q80" s="18" t="s">
        <v>24</v>
      </c>
      <c r="R80" s="18" t="s">
        <v>24</v>
      </c>
      <c r="S80" s="49"/>
      <c r="T80" s="49"/>
    </row>
    <row r="81" spans="1:20" x14ac:dyDescent="0.25">
      <c r="A81" s="9" t="s">
        <v>119</v>
      </c>
      <c r="B81" s="9" t="s">
        <v>179</v>
      </c>
      <c r="C81" s="10" t="s">
        <v>170</v>
      </c>
      <c r="D81" s="11">
        <v>41730</v>
      </c>
      <c r="E81" s="12">
        <f t="shared" si="3"/>
        <v>4</v>
      </c>
      <c r="F81" s="12" t="s">
        <v>31</v>
      </c>
      <c r="G81" s="13">
        <f t="shared" si="2"/>
        <v>2014</v>
      </c>
      <c r="H81" s="19" t="s">
        <v>19</v>
      </c>
      <c r="I81" s="16">
        <v>6</v>
      </c>
      <c r="J81" s="22">
        <v>616000</v>
      </c>
      <c r="K81" s="13" t="s">
        <v>20</v>
      </c>
      <c r="L81" s="17">
        <v>15</v>
      </c>
      <c r="M81" s="18" t="s">
        <v>21</v>
      </c>
      <c r="N81" s="18" t="s">
        <v>22</v>
      </c>
      <c r="O81" s="18" t="s">
        <v>23</v>
      </c>
      <c r="P81" s="18" t="s">
        <v>24</v>
      </c>
      <c r="Q81" s="18" t="s">
        <v>24</v>
      </c>
      <c r="R81" s="18" t="s">
        <v>24</v>
      </c>
      <c r="S81" s="49"/>
      <c r="T81" s="49"/>
    </row>
    <row r="82" spans="1:20" x14ac:dyDescent="0.25">
      <c r="A82" s="9" t="s">
        <v>120</v>
      </c>
      <c r="B82" s="9" t="s">
        <v>177</v>
      </c>
      <c r="C82" s="10" t="s">
        <v>33</v>
      </c>
      <c r="D82" s="37">
        <v>42005</v>
      </c>
      <c r="E82" s="12">
        <f t="shared" si="3"/>
        <v>1</v>
      </c>
      <c r="F82" s="12" t="s">
        <v>36</v>
      </c>
      <c r="G82" s="13">
        <f t="shared" si="2"/>
        <v>2015</v>
      </c>
      <c r="H82" s="19" t="s">
        <v>171</v>
      </c>
      <c r="I82" s="38">
        <v>12</v>
      </c>
      <c r="J82" s="20">
        <v>1423500</v>
      </c>
      <c r="K82" s="13" t="s">
        <v>34</v>
      </c>
      <c r="L82" s="17">
        <v>30</v>
      </c>
      <c r="M82" s="18" t="s">
        <v>21</v>
      </c>
      <c r="N82" s="18" t="s">
        <v>22</v>
      </c>
      <c r="O82" s="18" t="s">
        <v>23</v>
      </c>
      <c r="P82" s="18" t="s">
        <v>24</v>
      </c>
      <c r="Q82" s="18" t="s">
        <v>24</v>
      </c>
      <c r="R82" s="18" t="s">
        <v>24</v>
      </c>
      <c r="S82" s="49"/>
      <c r="T82" s="49"/>
    </row>
    <row r="83" spans="1:20" x14ac:dyDescent="0.25">
      <c r="A83" s="9" t="s">
        <v>121</v>
      </c>
      <c r="B83" s="9" t="s">
        <v>177</v>
      </c>
      <c r="C83" s="10" t="s">
        <v>17</v>
      </c>
      <c r="D83" s="37">
        <v>42036</v>
      </c>
      <c r="E83" s="12">
        <f t="shared" si="3"/>
        <v>2</v>
      </c>
      <c r="F83" s="12" t="s">
        <v>38</v>
      </c>
      <c r="G83" s="13">
        <f t="shared" si="2"/>
        <v>2015</v>
      </c>
      <c r="H83" s="19" t="s">
        <v>171</v>
      </c>
      <c r="I83" s="38">
        <v>1</v>
      </c>
      <c r="J83" s="20">
        <v>1423500</v>
      </c>
      <c r="K83" s="13" t="s">
        <v>34</v>
      </c>
      <c r="L83" s="17">
        <v>30</v>
      </c>
      <c r="M83" s="18" t="s">
        <v>21</v>
      </c>
      <c r="N83" s="18" t="s">
        <v>22</v>
      </c>
      <c r="O83" s="18" t="s">
        <v>23</v>
      </c>
      <c r="P83" s="18" t="s">
        <v>24</v>
      </c>
      <c r="Q83" s="18" t="s">
        <v>24</v>
      </c>
      <c r="R83" s="18" t="s">
        <v>24</v>
      </c>
      <c r="S83" s="49"/>
      <c r="T83" s="49"/>
    </row>
    <row r="84" spans="1:20" x14ac:dyDescent="0.25">
      <c r="A84" s="9" t="s">
        <v>122</v>
      </c>
      <c r="B84" s="9" t="s">
        <v>177</v>
      </c>
      <c r="C84" s="10" t="s">
        <v>33</v>
      </c>
      <c r="D84" s="37">
        <v>42767</v>
      </c>
      <c r="E84" s="12">
        <f t="shared" si="3"/>
        <v>2</v>
      </c>
      <c r="F84" s="12" t="s">
        <v>38</v>
      </c>
      <c r="G84" s="13">
        <f t="shared" si="2"/>
        <v>2017</v>
      </c>
      <c r="H84" s="19" t="s">
        <v>171</v>
      </c>
      <c r="I84" s="38">
        <v>5</v>
      </c>
      <c r="J84" s="35" t="s">
        <v>37</v>
      </c>
      <c r="K84" s="13" t="s">
        <v>34</v>
      </c>
      <c r="L84" s="17">
        <v>30</v>
      </c>
      <c r="M84" s="18" t="s">
        <v>21</v>
      </c>
      <c r="N84" s="18" t="s">
        <v>22</v>
      </c>
      <c r="O84" s="18" t="s">
        <v>23</v>
      </c>
      <c r="P84" s="18" t="s">
        <v>24</v>
      </c>
      <c r="Q84" s="18" t="s">
        <v>24</v>
      </c>
      <c r="R84" s="18" t="s">
        <v>24</v>
      </c>
      <c r="S84" s="49"/>
      <c r="T84" s="49"/>
    </row>
    <row r="85" spans="1:20" x14ac:dyDescent="0.25">
      <c r="A85" s="9" t="s">
        <v>123</v>
      </c>
      <c r="B85" s="9" t="s">
        <v>177</v>
      </c>
      <c r="C85" s="10" t="s">
        <v>33</v>
      </c>
      <c r="D85" s="11">
        <v>41122</v>
      </c>
      <c r="E85" s="12">
        <f t="shared" si="3"/>
        <v>8</v>
      </c>
      <c r="F85" s="12" t="s">
        <v>18</v>
      </c>
      <c r="G85" s="13">
        <f t="shared" si="2"/>
        <v>2012</v>
      </c>
      <c r="H85" s="19" t="s">
        <v>19</v>
      </c>
      <c r="I85" s="16">
        <v>1</v>
      </c>
      <c r="J85" s="22">
        <v>7758427</v>
      </c>
      <c r="K85" s="13" t="s">
        <v>34</v>
      </c>
      <c r="L85" s="17">
        <v>30</v>
      </c>
      <c r="M85" s="18" t="s">
        <v>21</v>
      </c>
      <c r="N85" s="18" t="s">
        <v>22</v>
      </c>
      <c r="O85" s="18" t="s">
        <v>23</v>
      </c>
      <c r="P85" s="18" t="s">
        <v>24</v>
      </c>
      <c r="Q85" s="18" t="s">
        <v>24</v>
      </c>
      <c r="R85" s="18" t="s">
        <v>24</v>
      </c>
      <c r="S85" s="49"/>
      <c r="T85" s="49"/>
    </row>
    <row r="86" spans="1:20" x14ac:dyDescent="0.25">
      <c r="A86" s="9" t="s">
        <v>124</v>
      </c>
      <c r="B86" s="9" t="s">
        <v>177</v>
      </c>
      <c r="C86" s="10" t="s">
        <v>170</v>
      </c>
      <c r="D86" s="11">
        <v>44501</v>
      </c>
      <c r="E86" s="12">
        <f t="shared" si="3"/>
        <v>11</v>
      </c>
      <c r="F86" s="12" t="s">
        <v>164</v>
      </c>
      <c r="G86" s="13">
        <f t="shared" si="2"/>
        <v>2021</v>
      </c>
      <c r="H86" s="19" t="s">
        <v>19</v>
      </c>
      <c r="I86" s="16">
        <v>30</v>
      </c>
      <c r="J86" s="22">
        <v>908526</v>
      </c>
      <c r="K86" s="13" t="s">
        <v>20</v>
      </c>
      <c r="L86" s="17">
        <v>30</v>
      </c>
      <c r="M86" s="18" t="s">
        <v>21</v>
      </c>
      <c r="N86" s="18" t="s">
        <v>22</v>
      </c>
      <c r="O86" s="18" t="s">
        <v>167</v>
      </c>
      <c r="P86" s="18" t="s">
        <v>24</v>
      </c>
      <c r="Q86" s="19" t="s">
        <v>161</v>
      </c>
      <c r="R86" s="19" t="s">
        <v>162</v>
      </c>
      <c r="S86" s="49"/>
      <c r="T86" s="49"/>
    </row>
    <row r="87" spans="1:20" x14ac:dyDescent="0.25">
      <c r="A87" s="9" t="s">
        <v>125</v>
      </c>
      <c r="B87" s="9" t="s">
        <v>177</v>
      </c>
      <c r="C87" s="10" t="s">
        <v>33</v>
      </c>
      <c r="D87" s="26" t="s">
        <v>37</v>
      </c>
      <c r="E87" s="26" t="s">
        <v>37</v>
      </c>
      <c r="F87" s="26" t="s">
        <v>37</v>
      </c>
      <c r="G87" s="27" t="s">
        <v>37</v>
      </c>
      <c r="H87" s="39" t="s">
        <v>19</v>
      </c>
      <c r="I87" s="40" t="s">
        <v>37</v>
      </c>
      <c r="J87" s="35" t="s">
        <v>37</v>
      </c>
      <c r="K87" s="41" t="s">
        <v>37</v>
      </c>
      <c r="L87" s="42" t="s">
        <v>37</v>
      </c>
      <c r="M87" s="42" t="s">
        <v>37</v>
      </c>
      <c r="N87" s="42" t="s">
        <v>37</v>
      </c>
      <c r="O87" s="42" t="s">
        <v>37</v>
      </c>
      <c r="P87" s="42" t="s">
        <v>37</v>
      </c>
      <c r="Q87" s="42" t="s">
        <v>37</v>
      </c>
      <c r="R87" s="42" t="s">
        <v>37</v>
      </c>
      <c r="S87" s="49"/>
      <c r="T87" s="49"/>
    </row>
    <row r="88" spans="1:20" x14ac:dyDescent="0.25">
      <c r="A88" s="9" t="s">
        <v>126</v>
      </c>
      <c r="B88" s="9" t="s">
        <v>178</v>
      </c>
      <c r="C88" s="10" t="s">
        <v>33</v>
      </c>
      <c r="D88" s="11">
        <v>42644</v>
      </c>
      <c r="E88" s="12">
        <f t="shared" si="3"/>
        <v>10</v>
      </c>
      <c r="F88" s="12" t="s">
        <v>166</v>
      </c>
      <c r="G88" s="13">
        <f t="shared" ref="G88:G106" si="4">YEAR(D88)</f>
        <v>2016</v>
      </c>
      <c r="H88" s="19" t="s">
        <v>171</v>
      </c>
      <c r="I88" s="36">
        <v>1</v>
      </c>
      <c r="J88" s="35" t="s">
        <v>37</v>
      </c>
      <c r="K88" s="13" t="s">
        <v>20</v>
      </c>
      <c r="L88" s="17">
        <v>30</v>
      </c>
      <c r="M88" s="18" t="s">
        <v>21</v>
      </c>
      <c r="N88" s="18" t="s">
        <v>22</v>
      </c>
      <c r="O88" s="18" t="s">
        <v>23</v>
      </c>
      <c r="P88" s="18" t="s">
        <v>24</v>
      </c>
      <c r="Q88" s="18" t="s">
        <v>24</v>
      </c>
      <c r="R88" s="18" t="s">
        <v>24</v>
      </c>
      <c r="S88" s="49"/>
      <c r="T88" s="49"/>
    </row>
    <row r="89" spans="1:20" x14ac:dyDescent="0.25">
      <c r="A89" s="9" t="s">
        <v>127</v>
      </c>
      <c r="B89" s="9" t="s">
        <v>179</v>
      </c>
      <c r="C89" s="10" t="s">
        <v>170</v>
      </c>
      <c r="D89" s="11">
        <v>42036</v>
      </c>
      <c r="E89" s="12">
        <f t="shared" si="3"/>
        <v>2</v>
      </c>
      <c r="F89" s="12" t="s">
        <v>38</v>
      </c>
      <c r="G89" s="13">
        <f t="shared" si="4"/>
        <v>2015</v>
      </c>
      <c r="H89" s="19" t="s">
        <v>19</v>
      </c>
      <c r="I89" s="16">
        <v>34</v>
      </c>
      <c r="J89" s="22">
        <v>1186094</v>
      </c>
      <c r="K89" s="13" t="s">
        <v>20</v>
      </c>
      <c r="L89" s="17">
        <v>30</v>
      </c>
      <c r="M89" s="18" t="s">
        <v>21</v>
      </c>
      <c r="N89" s="18" t="s">
        <v>22</v>
      </c>
      <c r="O89" s="18" t="s">
        <v>23</v>
      </c>
      <c r="P89" s="18" t="s">
        <v>24</v>
      </c>
      <c r="Q89" s="19" t="s">
        <v>161</v>
      </c>
      <c r="R89" s="19" t="s">
        <v>162</v>
      </c>
      <c r="S89" s="49"/>
      <c r="T89" s="49"/>
    </row>
    <row r="90" spans="1:20" ht="24" x14ac:dyDescent="0.25">
      <c r="A90" s="9" t="s">
        <v>128</v>
      </c>
      <c r="B90" s="9" t="s">
        <v>177</v>
      </c>
      <c r="C90" s="10" t="s">
        <v>29</v>
      </c>
      <c r="D90" s="11">
        <v>44440</v>
      </c>
      <c r="E90" s="12">
        <f t="shared" si="3"/>
        <v>9</v>
      </c>
      <c r="F90" s="12" t="s">
        <v>39</v>
      </c>
      <c r="G90" s="13">
        <f t="shared" si="4"/>
        <v>2021</v>
      </c>
      <c r="H90" s="19" t="s">
        <v>19</v>
      </c>
      <c r="I90" s="16">
        <v>8</v>
      </c>
      <c r="J90" s="22">
        <v>908526</v>
      </c>
      <c r="K90" s="13" t="s">
        <v>20</v>
      </c>
      <c r="L90" s="17">
        <v>30</v>
      </c>
      <c r="M90" s="18" t="s">
        <v>23</v>
      </c>
      <c r="N90" s="18" t="s">
        <v>22</v>
      </c>
      <c r="O90" s="18" t="s">
        <v>23</v>
      </c>
      <c r="P90" s="18" t="s">
        <v>24</v>
      </c>
      <c r="Q90" s="19" t="s">
        <v>161</v>
      </c>
      <c r="R90" s="19" t="s">
        <v>162</v>
      </c>
      <c r="S90" s="49"/>
      <c r="T90" s="49"/>
    </row>
    <row r="91" spans="1:20" x14ac:dyDescent="0.25">
      <c r="A91" s="9" t="s">
        <v>129</v>
      </c>
      <c r="B91" s="9" t="s">
        <v>178</v>
      </c>
      <c r="C91" s="10" t="s">
        <v>170</v>
      </c>
      <c r="D91" s="11">
        <v>42887</v>
      </c>
      <c r="E91" s="12">
        <f t="shared" si="3"/>
        <v>6</v>
      </c>
      <c r="F91" s="12" t="s">
        <v>30</v>
      </c>
      <c r="G91" s="13">
        <f t="shared" si="4"/>
        <v>2017</v>
      </c>
      <c r="H91" s="19" t="s">
        <v>19</v>
      </c>
      <c r="I91" s="16">
        <v>15</v>
      </c>
      <c r="J91" s="22">
        <v>869453</v>
      </c>
      <c r="K91" s="13" t="s">
        <v>20</v>
      </c>
      <c r="L91" s="17">
        <v>30</v>
      </c>
      <c r="M91" s="18" t="s">
        <v>21</v>
      </c>
      <c r="N91" s="18" t="s">
        <v>22</v>
      </c>
      <c r="O91" s="18" t="s">
        <v>23</v>
      </c>
      <c r="P91" s="18" t="s">
        <v>24</v>
      </c>
      <c r="Q91" s="18" t="s">
        <v>24</v>
      </c>
      <c r="R91" s="18" t="s">
        <v>24</v>
      </c>
      <c r="S91" s="49"/>
      <c r="T91" s="49"/>
    </row>
    <row r="92" spans="1:20" x14ac:dyDescent="0.25">
      <c r="A92" s="9" t="s">
        <v>130</v>
      </c>
      <c r="B92" s="9" t="s">
        <v>179</v>
      </c>
      <c r="C92" s="10" t="s">
        <v>170</v>
      </c>
      <c r="D92" s="11">
        <v>43709</v>
      </c>
      <c r="E92" s="12">
        <f t="shared" si="3"/>
        <v>9</v>
      </c>
      <c r="F92" s="12" t="s">
        <v>39</v>
      </c>
      <c r="G92" s="13">
        <f t="shared" si="4"/>
        <v>2019</v>
      </c>
      <c r="H92" s="19" t="s">
        <v>171</v>
      </c>
      <c r="I92" s="43" t="s">
        <v>37</v>
      </c>
      <c r="J92" s="35" t="s">
        <v>37</v>
      </c>
      <c r="K92" s="44" t="s">
        <v>20</v>
      </c>
      <c r="L92" s="17">
        <v>30</v>
      </c>
      <c r="M92" s="18" t="s">
        <v>21</v>
      </c>
      <c r="N92" s="18" t="s">
        <v>22</v>
      </c>
      <c r="O92" s="18" t="s">
        <v>23</v>
      </c>
      <c r="P92" s="18" t="s">
        <v>24</v>
      </c>
      <c r="Q92" s="18" t="s">
        <v>24</v>
      </c>
      <c r="R92" s="18" t="s">
        <v>24</v>
      </c>
      <c r="S92" s="49"/>
      <c r="T92" s="49"/>
    </row>
    <row r="93" spans="1:20" x14ac:dyDescent="0.25">
      <c r="A93" s="9" t="s">
        <v>131</v>
      </c>
      <c r="B93" s="9" t="s">
        <v>177</v>
      </c>
      <c r="C93" s="10" t="s">
        <v>33</v>
      </c>
      <c r="D93" s="11">
        <v>42887</v>
      </c>
      <c r="E93" s="12">
        <f t="shared" si="3"/>
        <v>6</v>
      </c>
      <c r="F93" s="12" t="s">
        <v>30</v>
      </c>
      <c r="G93" s="13">
        <f t="shared" si="4"/>
        <v>2017</v>
      </c>
      <c r="H93" s="19" t="s">
        <v>171</v>
      </c>
      <c r="I93" s="36">
        <v>6</v>
      </c>
      <c r="J93" s="35" t="s">
        <v>37</v>
      </c>
      <c r="K93" s="13" t="s">
        <v>20</v>
      </c>
      <c r="L93" s="17">
        <v>30</v>
      </c>
      <c r="M93" s="18" t="s">
        <v>21</v>
      </c>
      <c r="N93" s="18" t="s">
        <v>22</v>
      </c>
      <c r="O93" s="18" t="s">
        <v>23</v>
      </c>
      <c r="P93" s="18" t="s">
        <v>24</v>
      </c>
      <c r="Q93" s="18" t="s">
        <v>24</v>
      </c>
      <c r="R93" s="18" t="s">
        <v>24</v>
      </c>
      <c r="S93" s="49"/>
      <c r="T93" s="49"/>
    </row>
    <row r="94" spans="1:20" x14ac:dyDescent="0.25">
      <c r="A94" s="9" t="s">
        <v>132</v>
      </c>
      <c r="B94" s="9" t="s">
        <v>177</v>
      </c>
      <c r="C94" s="10" t="s">
        <v>33</v>
      </c>
      <c r="D94" s="11">
        <v>42948</v>
      </c>
      <c r="E94" s="12">
        <f t="shared" si="3"/>
        <v>8</v>
      </c>
      <c r="F94" s="12" t="s">
        <v>18</v>
      </c>
      <c r="G94" s="13">
        <f t="shared" si="4"/>
        <v>2017</v>
      </c>
      <c r="H94" s="19" t="s">
        <v>171</v>
      </c>
      <c r="I94" s="36">
        <v>36</v>
      </c>
      <c r="J94" s="22">
        <v>1423500</v>
      </c>
      <c r="K94" s="13" t="s">
        <v>20</v>
      </c>
      <c r="L94" s="17">
        <v>30</v>
      </c>
      <c r="M94" s="18" t="s">
        <v>21</v>
      </c>
      <c r="N94" s="18" t="s">
        <v>22</v>
      </c>
      <c r="O94" s="18" t="s">
        <v>23</v>
      </c>
      <c r="P94" s="18" t="s">
        <v>24</v>
      </c>
      <c r="Q94" s="18" t="s">
        <v>24</v>
      </c>
      <c r="R94" s="18" t="s">
        <v>24</v>
      </c>
      <c r="S94" s="49"/>
      <c r="T94" s="49"/>
    </row>
    <row r="95" spans="1:20" x14ac:dyDescent="0.25">
      <c r="A95" s="9" t="s">
        <v>133</v>
      </c>
      <c r="B95" s="9" t="s">
        <v>177</v>
      </c>
      <c r="C95" s="10" t="s">
        <v>33</v>
      </c>
      <c r="D95" s="11">
        <v>43831</v>
      </c>
      <c r="E95" s="12">
        <f t="shared" si="3"/>
        <v>1</v>
      </c>
      <c r="F95" s="12" t="s">
        <v>36</v>
      </c>
      <c r="G95" s="13">
        <f t="shared" si="4"/>
        <v>2020</v>
      </c>
      <c r="H95" s="19" t="s">
        <v>173</v>
      </c>
      <c r="I95" s="36">
        <v>100</v>
      </c>
      <c r="J95" s="22">
        <v>1423500</v>
      </c>
      <c r="K95" s="13" t="s">
        <v>20</v>
      </c>
      <c r="L95" s="17">
        <v>30</v>
      </c>
      <c r="M95" s="18" t="s">
        <v>21</v>
      </c>
      <c r="N95" s="18" t="s">
        <v>22</v>
      </c>
      <c r="O95" s="18" t="s">
        <v>23</v>
      </c>
      <c r="P95" s="18" t="s">
        <v>24</v>
      </c>
      <c r="Q95" s="18" t="s">
        <v>24</v>
      </c>
      <c r="R95" s="18" t="s">
        <v>24</v>
      </c>
      <c r="S95" s="49"/>
      <c r="T95" s="49"/>
    </row>
    <row r="96" spans="1:20" x14ac:dyDescent="0.25">
      <c r="A96" s="9" t="s">
        <v>134</v>
      </c>
      <c r="B96" s="9" t="s">
        <v>177</v>
      </c>
      <c r="C96" s="10" t="s">
        <v>29</v>
      </c>
      <c r="D96" s="11">
        <v>44562</v>
      </c>
      <c r="E96" s="12">
        <f t="shared" si="3"/>
        <v>1</v>
      </c>
      <c r="F96" s="12" t="s">
        <v>36</v>
      </c>
      <c r="G96" s="13">
        <f t="shared" si="4"/>
        <v>2022</v>
      </c>
      <c r="H96" s="19" t="s">
        <v>19</v>
      </c>
      <c r="I96" s="16">
        <v>6</v>
      </c>
      <c r="J96" s="22">
        <v>1423500</v>
      </c>
      <c r="K96" s="13" t="s">
        <v>20</v>
      </c>
      <c r="L96" s="17">
        <v>15</v>
      </c>
      <c r="M96" s="18" t="s">
        <v>21</v>
      </c>
      <c r="N96" s="18" t="s">
        <v>22</v>
      </c>
      <c r="O96" s="18" t="s">
        <v>23</v>
      </c>
      <c r="P96" s="18" t="s">
        <v>24</v>
      </c>
      <c r="Q96" s="18" t="s">
        <v>24</v>
      </c>
      <c r="R96" s="18" t="s">
        <v>24</v>
      </c>
      <c r="S96" s="49"/>
      <c r="T96" s="49"/>
    </row>
    <row r="97" spans="1:20" x14ac:dyDescent="0.25">
      <c r="A97" s="9" t="s">
        <v>135</v>
      </c>
      <c r="B97" s="9" t="s">
        <v>177</v>
      </c>
      <c r="C97" s="10" t="s">
        <v>29</v>
      </c>
      <c r="D97" s="11">
        <v>42278</v>
      </c>
      <c r="E97" s="12">
        <f t="shared" si="3"/>
        <v>10</v>
      </c>
      <c r="F97" s="12" t="s">
        <v>166</v>
      </c>
      <c r="G97" s="13">
        <f t="shared" si="4"/>
        <v>2015</v>
      </c>
      <c r="H97" s="19" t="s">
        <v>19</v>
      </c>
      <c r="I97" s="16">
        <v>4</v>
      </c>
      <c r="J97" s="22">
        <v>1423500</v>
      </c>
      <c r="K97" s="13" t="s">
        <v>20</v>
      </c>
      <c r="L97" s="17">
        <v>30</v>
      </c>
      <c r="M97" s="18" t="s">
        <v>21</v>
      </c>
      <c r="N97" s="18" t="s">
        <v>22</v>
      </c>
      <c r="O97" s="18" t="s">
        <v>23</v>
      </c>
      <c r="P97" s="18" t="s">
        <v>24</v>
      </c>
      <c r="Q97" s="18" t="s">
        <v>24</v>
      </c>
      <c r="R97" s="18" t="s">
        <v>24</v>
      </c>
      <c r="S97" s="49"/>
      <c r="T97" s="49"/>
    </row>
    <row r="98" spans="1:20" x14ac:dyDescent="0.25">
      <c r="A98" s="9" t="s">
        <v>136</v>
      </c>
      <c r="B98" s="9" t="s">
        <v>177</v>
      </c>
      <c r="C98" s="10" t="s">
        <v>33</v>
      </c>
      <c r="D98" s="11">
        <v>41640</v>
      </c>
      <c r="E98" s="12">
        <f t="shared" si="3"/>
        <v>1</v>
      </c>
      <c r="F98" s="12" t="s">
        <v>36</v>
      </c>
      <c r="G98" s="13">
        <f t="shared" si="4"/>
        <v>2014</v>
      </c>
      <c r="H98" s="19" t="s">
        <v>171</v>
      </c>
      <c r="I98" s="36">
        <v>13</v>
      </c>
      <c r="J98" s="22">
        <v>1423500</v>
      </c>
      <c r="K98" s="13" t="s">
        <v>20</v>
      </c>
      <c r="L98" s="17">
        <v>30</v>
      </c>
      <c r="M98" s="18" t="s">
        <v>21</v>
      </c>
      <c r="N98" s="18" t="s">
        <v>22</v>
      </c>
      <c r="O98" s="18" t="s">
        <v>23</v>
      </c>
      <c r="P98" s="18" t="s">
        <v>24</v>
      </c>
      <c r="Q98" s="18" t="s">
        <v>24</v>
      </c>
      <c r="R98" s="18" t="s">
        <v>24</v>
      </c>
      <c r="S98" s="49"/>
      <c r="T98" s="49"/>
    </row>
    <row r="99" spans="1:20" x14ac:dyDescent="0.25">
      <c r="A99" s="9" t="s">
        <v>137</v>
      </c>
      <c r="B99" s="9" t="s">
        <v>178</v>
      </c>
      <c r="C99" s="10" t="s">
        <v>170</v>
      </c>
      <c r="D99" s="11">
        <v>43632</v>
      </c>
      <c r="E99" s="12">
        <f t="shared" si="3"/>
        <v>6</v>
      </c>
      <c r="F99" s="12" t="s">
        <v>30</v>
      </c>
      <c r="G99" s="13">
        <f t="shared" si="4"/>
        <v>2019</v>
      </c>
      <c r="H99" s="19" t="s">
        <v>19</v>
      </c>
      <c r="I99" s="16">
        <v>2</v>
      </c>
      <c r="J99" s="22">
        <v>628116</v>
      </c>
      <c r="K99" s="13" t="s">
        <v>20</v>
      </c>
      <c r="L99" s="17">
        <v>30</v>
      </c>
      <c r="M99" s="18" t="s">
        <v>21</v>
      </c>
      <c r="N99" s="18" t="s">
        <v>22</v>
      </c>
      <c r="O99" s="18" t="s">
        <v>23</v>
      </c>
      <c r="P99" s="18" t="s">
        <v>24</v>
      </c>
      <c r="Q99" s="18" t="s">
        <v>24</v>
      </c>
      <c r="R99" s="18" t="s">
        <v>24</v>
      </c>
      <c r="S99" s="49"/>
      <c r="T99" s="49"/>
    </row>
    <row r="100" spans="1:20" x14ac:dyDescent="0.25">
      <c r="A100" s="9" t="s">
        <v>138</v>
      </c>
      <c r="B100" s="9" t="s">
        <v>179</v>
      </c>
      <c r="C100" s="10" t="s">
        <v>33</v>
      </c>
      <c r="D100" s="11">
        <v>44474</v>
      </c>
      <c r="E100" s="12">
        <f t="shared" si="3"/>
        <v>10</v>
      </c>
      <c r="F100" s="12" t="s">
        <v>166</v>
      </c>
      <c r="G100" s="13">
        <f t="shared" si="4"/>
        <v>2021</v>
      </c>
      <c r="H100" s="19" t="s">
        <v>19</v>
      </c>
      <c r="I100" s="16">
        <v>5</v>
      </c>
      <c r="J100" s="22">
        <v>1423500</v>
      </c>
      <c r="K100" s="13" t="s">
        <v>20</v>
      </c>
      <c r="L100" s="17">
        <v>28</v>
      </c>
      <c r="M100" s="18" t="s">
        <v>21</v>
      </c>
      <c r="N100" s="18" t="s">
        <v>22</v>
      </c>
      <c r="O100" s="18" t="s">
        <v>23</v>
      </c>
      <c r="P100" s="18" t="s">
        <v>24</v>
      </c>
      <c r="Q100" s="18" t="s">
        <v>24</v>
      </c>
      <c r="R100" s="18" t="s">
        <v>24</v>
      </c>
      <c r="S100" s="49"/>
      <c r="T100" s="49"/>
    </row>
    <row r="101" spans="1:20" x14ac:dyDescent="0.25">
      <c r="A101" s="9" t="s">
        <v>139</v>
      </c>
      <c r="B101" s="9" t="s">
        <v>177</v>
      </c>
      <c r="C101" s="10" t="s">
        <v>17</v>
      </c>
      <c r="D101" s="11">
        <v>44368</v>
      </c>
      <c r="E101" s="12">
        <f t="shared" si="3"/>
        <v>6</v>
      </c>
      <c r="F101" s="12" t="s">
        <v>30</v>
      </c>
      <c r="G101" s="13">
        <f t="shared" si="4"/>
        <v>2021</v>
      </c>
      <c r="H101" s="19" t="s">
        <v>19</v>
      </c>
      <c r="I101" s="29" t="s">
        <v>37</v>
      </c>
      <c r="J101" s="22">
        <v>1116857</v>
      </c>
      <c r="K101" s="13" t="s">
        <v>34</v>
      </c>
      <c r="L101" s="17">
        <v>30</v>
      </c>
      <c r="M101" s="18" t="s">
        <v>21</v>
      </c>
      <c r="N101" s="18" t="s">
        <v>22</v>
      </c>
      <c r="O101" s="18" t="s">
        <v>167</v>
      </c>
      <c r="P101" s="18" t="s">
        <v>24</v>
      </c>
      <c r="Q101" s="19" t="s">
        <v>161</v>
      </c>
      <c r="R101" s="19" t="s">
        <v>162</v>
      </c>
      <c r="S101" s="49"/>
      <c r="T101" s="49"/>
    </row>
    <row r="102" spans="1:20" x14ac:dyDescent="0.25">
      <c r="A102" s="9" t="s">
        <v>140</v>
      </c>
      <c r="B102" s="9" t="s">
        <v>178</v>
      </c>
      <c r="C102" s="10" t="s">
        <v>170</v>
      </c>
      <c r="D102" s="11">
        <v>42773</v>
      </c>
      <c r="E102" s="12">
        <f t="shared" si="3"/>
        <v>2</v>
      </c>
      <c r="F102" s="12" t="s">
        <v>38</v>
      </c>
      <c r="G102" s="13">
        <f t="shared" si="4"/>
        <v>2017</v>
      </c>
      <c r="H102" s="19" t="s">
        <v>171</v>
      </c>
      <c r="I102" s="36">
        <v>26</v>
      </c>
      <c r="J102" s="22">
        <v>1423500</v>
      </c>
      <c r="K102" s="13" t="s">
        <v>20</v>
      </c>
      <c r="L102" s="17">
        <v>30</v>
      </c>
      <c r="M102" s="18" t="s">
        <v>21</v>
      </c>
      <c r="N102" s="18" t="s">
        <v>22</v>
      </c>
      <c r="O102" s="18" t="s">
        <v>23</v>
      </c>
      <c r="P102" s="18" t="s">
        <v>24</v>
      </c>
      <c r="Q102" s="18" t="s">
        <v>24</v>
      </c>
      <c r="R102" s="18" t="s">
        <v>24</v>
      </c>
      <c r="S102" s="49"/>
      <c r="T102" s="49"/>
    </row>
    <row r="103" spans="1:20" x14ac:dyDescent="0.25">
      <c r="A103" s="9" t="s">
        <v>141</v>
      </c>
      <c r="B103" s="9" t="s">
        <v>179</v>
      </c>
      <c r="C103" s="10" t="s">
        <v>170</v>
      </c>
      <c r="D103" s="11">
        <v>42773</v>
      </c>
      <c r="E103" s="12">
        <f t="shared" si="3"/>
        <v>2</v>
      </c>
      <c r="F103" s="12" t="s">
        <v>38</v>
      </c>
      <c r="G103" s="13">
        <f t="shared" si="4"/>
        <v>2017</v>
      </c>
      <c r="H103" s="19" t="s">
        <v>171</v>
      </c>
      <c r="I103" s="45">
        <v>26</v>
      </c>
      <c r="J103" s="22">
        <v>1423500</v>
      </c>
      <c r="K103" s="13" t="s">
        <v>20</v>
      </c>
      <c r="L103" s="17">
        <v>30</v>
      </c>
      <c r="M103" s="18" t="s">
        <v>21</v>
      </c>
      <c r="N103" s="18" t="s">
        <v>22</v>
      </c>
      <c r="O103" s="18" t="s">
        <v>23</v>
      </c>
      <c r="P103" s="18" t="s">
        <v>24</v>
      </c>
      <c r="Q103" s="18" t="s">
        <v>24</v>
      </c>
      <c r="R103" s="18" t="s">
        <v>24</v>
      </c>
      <c r="S103" s="49"/>
      <c r="T103" s="49"/>
    </row>
    <row r="104" spans="1:20" ht="24" x14ac:dyDescent="0.25">
      <c r="A104" s="9" t="s">
        <v>142</v>
      </c>
      <c r="B104" s="9" t="s">
        <v>177</v>
      </c>
      <c r="C104" s="10" t="s">
        <v>33</v>
      </c>
      <c r="D104" s="11">
        <v>43738</v>
      </c>
      <c r="E104" s="12">
        <f t="shared" si="3"/>
        <v>9</v>
      </c>
      <c r="F104" s="12" t="s">
        <v>39</v>
      </c>
      <c r="G104" s="13">
        <f t="shared" si="4"/>
        <v>2019</v>
      </c>
      <c r="H104" s="19" t="s">
        <v>19</v>
      </c>
      <c r="I104" s="46">
        <v>23</v>
      </c>
      <c r="J104" s="22">
        <v>828116</v>
      </c>
      <c r="K104" s="13" t="s">
        <v>20</v>
      </c>
      <c r="L104" s="17">
        <v>30</v>
      </c>
      <c r="M104" s="18" t="s">
        <v>21</v>
      </c>
      <c r="N104" s="18" t="s">
        <v>23</v>
      </c>
      <c r="O104" s="18" t="s">
        <v>23</v>
      </c>
      <c r="P104" s="18" t="s">
        <v>24</v>
      </c>
      <c r="Q104" s="18" t="s">
        <v>24</v>
      </c>
      <c r="R104" s="18" t="s">
        <v>24</v>
      </c>
      <c r="S104" s="49"/>
      <c r="T104" s="49"/>
    </row>
    <row r="105" spans="1:20" x14ac:dyDescent="0.25">
      <c r="A105" s="9" t="s">
        <v>143</v>
      </c>
      <c r="B105" s="9" t="s">
        <v>177</v>
      </c>
      <c r="C105" s="10" t="s">
        <v>33</v>
      </c>
      <c r="D105" s="11">
        <v>43774</v>
      </c>
      <c r="E105" s="12">
        <f t="shared" si="3"/>
        <v>11</v>
      </c>
      <c r="F105" s="12" t="s">
        <v>164</v>
      </c>
      <c r="G105" s="13">
        <f t="shared" si="4"/>
        <v>2019</v>
      </c>
      <c r="H105" s="19" t="s">
        <v>19</v>
      </c>
      <c r="I105" s="46">
        <v>6</v>
      </c>
      <c r="J105" s="22">
        <v>1423500</v>
      </c>
      <c r="K105" s="13" t="s">
        <v>20</v>
      </c>
      <c r="L105" s="17">
        <v>30</v>
      </c>
      <c r="M105" s="18" t="s">
        <v>21</v>
      </c>
      <c r="N105" s="18" t="s">
        <v>22</v>
      </c>
      <c r="O105" s="18" t="s">
        <v>23</v>
      </c>
      <c r="P105" s="18" t="s">
        <v>24</v>
      </c>
      <c r="Q105" s="18" t="s">
        <v>24</v>
      </c>
      <c r="R105" s="18" t="s">
        <v>24</v>
      </c>
      <c r="S105" s="49"/>
      <c r="T105" s="49"/>
    </row>
    <row r="106" spans="1:20" x14ac:dyDescent="0.25">
      <c r="A106" s="9" t="s">
        <v>144</v>
      </c>
      <c r="B106" s="9" t="s">
        <v>177</v>
      </c>
      <c r="C106" s="10" t="s">
        <v>33</v>
      </c>
      <c r="D106" s="11">
        <v>43840</v>
      </c>
      <c r="E106" s="12">
        <f t="shared" si="3"/>
        <v>1</v>
      </c>
      <c r="F106" s="12" t="s">
        <v>36</v>
      </c>
      <c r="G106" s="13">
        <f t="shared" si="4"/>
        <v>2020</v>
      </c>
      <c r="H106" s="19" t="s">
        <v>19</v>
      </c>
      <c r="I106" s="46">
        <v>3</v>
      </c>
      <c r="J106" s="22">
        <v>828116</v>
      </c>
      <c r="K106" s="13" t="s">
        <v>20</v>
      </c>
      <c r="L106" s="17">
        <v>30</v>
      </c>
      <c r="M106" s="18" t="s">
        <v>21</v>
      </c>
      <c r="N106" s="18" t="s">
        <v>22</v>
      </c>
      <c r="O106" s="18" t="s">
        <v>23</v>
      </c>
      <c r="P106" s="18" t="s">
        <v>24</v>
      </c>
      <c r="Q106" s="18" t="s">
        <v>24</v>
      </c>
      <c r="R106" s="18" t="s">
        <v>24</v>
      </c>
      <c r="S106" s="49"/>
      <c r="T106" s="49"/>
    </row>
    <row r="107" spans="1:20" x14ac:dyDescent="0.25">
      <c r="A107" s="9" t="s">
        <v>145</v>
      </c>
      <c r="B107" s="9" t="s">
        <v>177</v>
      </c>
      <c r="C107" s="10" t="s">
        <v>170</v>
      </c>
      <c r="D107" s="26" t="s">
        <v>37</v>
      </c>
      <c r="E107" s="26" t="s">
        <v>37</v>
      </c>
      <c r="F107" s="26" t="s">
        <v>37</v>
      </c>
      <c r="G107" s="27" t="s">
        <v>37</v>
      </c>
      <c r="H107" s="39" t="s">
        <v>19</v>
      </c>
      <c r="I107" s="46">
        <v>3</v>
      </c>
      <c r="J107" s="22">
        <v>980656</v>
      </c>
      <c r="K107" s="13" t="s">
        <v>20</v>
      </c>
      <c r="L107" s="17">
        <v>10</v>
      </c>
      <c r="M107" s="18" t="s">
        <v>21</v>
      </c>
      <c r="N107" s="18" t="s">
        <v>22</v>
      </c>
      <c r="O107" s="18" t="s">
        <v>23</v>
      </c>
      <c r="P107" s="18" t="s">
        <v>24</v>
      </c>
      <c r="Q107" s="18" t="s">
        <v>24</v>
      </c>
      <c r="R107" s="18" t="s">
        <v>24</v>
      </c>
      <c r="S107" s="49"/>
      <c r="T107" s="49"/>
    </row>
    <row r="108" spans="1:20" x14ac:dyDescent="0.25">
      <c r="A108" s="9" t="s">
        <v>146</v>
      </c>
      <c r="B108" s="9" t="s">
        <v>177</v>
      </c>
      <c r="C108" s="28" t="s">
        <v>37</v>
      </c>
      <c r="D108" s="11">
        <v>41849</v>
      </c>
      <c r="E108" s="12">
        <f t="shared" si="3"/>
        <v>7</v>
      </c>
      <c r="F108" s="12" t="s">
        <v>28</v>
      </c>
      <c r="G108" s="13">
        <f t="shared" ref="G108:G120" si="5">YEAR(D108)</f>
        <v>2014</v>
      </c>
      <c r="H108" s="19" t="s">
        <v>171</v>
      </c>
      <c r="I108" s="47">
        <v>1</v>
      </c>
      <c r="J108" s="22">
        <v>1423500</v>
      </c>
      <c r="K108" s="13" t="s">
        <v>20</v>
      </c>
      <c r="L108" s="17">
        <v>15</v>
      </c>
      <c r="M108" s="18" t="s">
        <v>21</v>
      </c>
      <c r="N108" s="18" t="s">
        <v>22</v>
      </c>
      <c r="O108" s="18" t="s">
        <v>23</v>
      </c>
      <c r="P108" s="18" t="s">
        <v>24</v>
      </c>
      <c r="Q108" s="18" t="s">
        <v>24</v>
      </c>
      <c r="R108" s="18" t="s">
        <v>24</v>
      </c>
      <c r="S108" s="49"/>
      <c r="T108" s="49"/>
    </row>
    <row r="109" spans="1:20" x14ac:dyDescent="0.25">
      <c r="A109" s="9" t="s">
        <v>147</v>
      </c>
      <c r="B109" s="9" t="s">
        <v>177</v>
      </c>
      <c r="C109" s="10" t="s">
        <v>170</v>
      </c>
      <c r="D109" s="11">
        <v>42781</v>
      </c>
      <c r="E109" s="12">
        <f t="shared" si="3"/>
        <v>2</v>
      </c>
      <c r="F109" s="12" t="s">
        <v>38</v>
      </c>
      <c r="G109" s="13">
        <f t="shared" si="5"/>
        <v>2017</v>
      </c>
      <c r="H109" s="19" t="s">
        <v>19</v>
      </c>
      <c r="I109" s="46">
        <v>5</v>
      </c>
      <c r="J109" s="22">
        <v>1423500</v>
      </c>
      <c r="K109" s="13" t="s">
        <v>20</v>
      </c>
      <c r="L109" s="17">
        <v>30</v>
      </c>
      <c r="M109" s="18" t="s">
        <v>21</v>
      </c>
      <c r="N109" s="18" t="s">
        <v>22</v>
      </c>
      <c r="O109" s="18" t="s">
        <v>23</v>
      </c>
      <c r="P109" s="18" t="s">
        <v>24</v>
      </c>
      <c r="Q109" s="18" t="s">
        <v>24</v>
      </c>
      <c r="R109" s="18" t="s">
        <v>24</v>
      </c>
      <c r="S109" s="49"/>
      <c r="T109" s="49"/>
    </row>
    <row r="110" spans="1:20" x14ac:dyDescent="0.25">
      <c r="A110" s="9" t="s">
        <v>148</v>
      </c>
      <c r="B110" s="9" t="s">
        <v>178</v>
      </c>
      <c r="C110" s="10" t="s">
        <v>33</v>
      </c>
      <c r="D110" s="11">
        <v>42786</v>
      </c>
      <c r="E110" s="12">
        <f t="shared" si="3"/>
        <v>2</v>
      </c>
      <c r="F110" s="12" t="s">
        <v>38</v>
      </c>
      <c r="G110" s="13">
        <f t="shared" si="5"/>
        <v>2017</v>
      </c>
      <c r="H110" s="19" t="s">
        <v>171</v>
      </c>
      <c r="I110" s="47">
        <v>1</v>
      </c>
      <c r="J110" s="35" t="s">
        <v>37</v>
      </c>
      <c r="K110" s="13" t="s">
        <v>20</v>
      </c>
      <c r="L110" s="17">
        <v>30</v>
      </c>
      <c r="M110" s="18" t="s">
        <v>21</v>
      </c>
      <c r="N110" s="18" t="s">
        <v>22</v>
      </c>
      <c r="O110" s="18" t="s">
        <v>23</v>
      </c>
      <c r="P110" s="18" t="s">
        <v>24</v>
      </c>
      <c r="Q110" s="18" t="s">
        <v>24</v>
      </c>
      <c r="R110" s="18" t="s">
        <v>24</v>
      </c>
      <c r="S110" s="49"/>
      <c r="T110" s="49"/>
    </row>
    <row r="111" spans="1:20" x14ac:dyDescent="0.25">
      <c r="A111" s="9" t="s">
        <v>149</v>
      </c>
      <c r="B111" s="9" t="s">
        <v>179</v>
      </c>
      <c r="C111" s="10" t="s">
        <v>33</v>
      </c>
      <c r="D111" s="11">
        <v>41983</v>
      </c>
      <c r="E111" s="12">
        <f t="shared" si="3"/>
        <v>12</v>
      </c>
      <c r="F111" s="12" t="s">
        <v>163</v>
      </c>
      <c r="G111" s="13">
        <f t="shared" si="5"/>
        <v>2014</v>
      </c>
      <c r="H111" s="19" t="s">
        <v>19</v>
      </c>
      <c r="I111" s="46">
        <v>10</v>
      </c>
      <c r="J111" s="15">
        <v>1423500</v>
      </c>
      <c r="K111" s="13" t="s">
        <v>20</v>
      </c>
      <c r="L111" s="17">
        <v>30</v>
      </c>
      <c r="M111" s="18" t="s">
        <v>21</v>
      </c>
      <c r="N111" s="18" t="s">
        <v>22</v>
      </c>
      <c r="O111" s="18" t="s">
        <v>23</v>
      </c>
      <c r="P111" s="18" t="s">
        <v>24</v>
      </c>
      <c r="Q111" s="18" t="s">
        <v>24</v>
      </c>
      <c r="R111" s="18" t="s">
        <v>24</v>
      </c>
      <c r="S111" s="49"/>
      <c r="T111" s="49"/>
    </row>
    <row r="112" spans="1:20" x14ac:dyDescent="0.25">
      <c r="A112" s="9" t="s">
        <v>150</v>
      </c>
      <c r="B112" s="9" t="s">
        <v>177</v>
      </c>
      <c r="C112" s="10" t="s">
        <v>33</v>
      </c>
      <c r="D112" s="11">
        <v>45266</v>
      </c>
      <c r="E112" s="12">
        <f t="shared" si="3"/>
        <v>12</v>
      </c>
      <c r="F112" s="12" t="s">
        <v>163</v>
      </c>
      <c r="G112" s="13">
        <f t="shared" si="5"/>
        <v>2023</v>
      </c>
      <c r="H112" s="19" t="s">
        <v>171</v>
      </c>
      <c r="I112" s="47">
        <v>10</v>
      </c>
      <c r="J112" s="22">
        <v>1423500</v>
      </c>
      <c r="K112" s="13" t="s">
        <v>20</v>
      </c>
      <c r="L112" s="17">
        <v>30</v>
      </c>
      <c r="M112" s="18" t="s">
        <v>21</v>
      </c>
      <c r="N112" s="18" t="s">
        <v>22</v>
      </c>
      <c r="O112" s="18" t="s">
        <v>23</v>
      </c>
      <c r="P112" s="18" t="s">
        <v>24</v>
      </c>
      <c r="Q112" s="18" t="s">
        <v>24</v>
      </c>
      <c r="R112" s="18" t="s">
        <v>24</v>
      </c>
      <c r="S112" s="49"/>
      <c r="T112" s="49"/>
    </row>
    <row r="113" spans="1:20" x14ac:dyDescent="0.25">
      <c r="A113" s="9" t="s">
        <v>151</v>
      </c>
      <c r="B113" s="9" t="s">
        <v>178</v>
      </c>
      <c r="C113" s="10" t="s">
        <v>33</v>
      </c>
      <c r="D113" s="11">
        <v>42305</v>
      </c>
      <c r="E113" s="12">
        <f t="shared" si="3"/>
        <v>10</v>
      </c>
      <c r="F113" s="12" t="s">
        <v>166</v>
      </c>
      <c r="G113" s="13">
        <f t="shared" si="5"/>
        <v>2015</v>
      </c>
      <c r="H113" s="19" t="s">
        <v>19</v>
      </c>
      <c r="I113" s="46">
        <v>200</v>
      </c>
      <c r="J113" s="15">
        <v>1423500</v>
      </c>
      <c r="K113" s="13" t="s">
        <v>20</v>
      </c>
      <c r="L113" s="17">
        <v>30</v>
      </c>
      <c r="M113" s="18" t="s">
        <v>21</v>
      </c>
      <c r="N113" s="18" t="s">
        <v>22</v>
      </c>
      <c r="O113" s="18" t="s">
        <v>23</v>
      </c>
      <c r="P113" s="18" t="s">
        <v>24</v>
      </c>
      <c r="Q113" s="18" t="s">
        <v>24</v>
      </c>
      <c r="R113" s="18" t="s">
        <v>24</v>
      </c>
      <c r="S113" s="49"/>
      <c r="T113" s="49"/>
    </row>
    <row r="114" spans="1:20" x14ac:dyDescent="0.25">
      <c r="A114" s="9" t="s">
        <v>152</v>
      </c>
      <c r="B114" s="9" t="s">
        <v>179</v>
      </c>
      <c r="C114" s="10" t="s">
        <v>33</v>
      </c>
      <c r="D114" s="11">
        <v>44392</v>
      </c>
      <c r="E114" s="12">
        <f t="shared" si="3"/>
        <v>7</v>
      </c>
      <c r="F114" s="12" t="s">
        <v>28</v>
      </c>
      <c r="G114" s="13">
        <f t="shared" si="5"/>
        <v>2021</v>
      </c>
      <c r="H114" s="19" t="s">
        <v>19</v>
      </c>
      <c r="I114" s="46">
        <v>12</v>
      </c>
      <c r="J114" s="22">
        <v>906954</v>
      </c>
      <c r="K114" s="13" t="s">
        <v>20</v>
      </c>
      <c r="L114" s="17">
        <v>30</v>
      </c>
      <c r="M114" s="18" t="s">
        <v>21</v>
      </c>
      <c r="N114" s="18" t="s">
        <v>22</v>
      </c>
      <c r="O114" s="18" t="s">
        <v>23</v>
      </c>
      <c r="P114" s="18" t="s">
        <v>24</v>
      </c>
      <c r="Q114" s="19" t="s">
        <v>161</v>
      </c>
      <c r="R114" s="19" t="s">
        <v>162</v>
      </c>
      <c r="S114" s="49"/>
      <c r="T114" s="49"/>
    </row>
    <row r="115" spans="1:20" ht="24" x14ac:dyDescent="0.25">
      <c r="A115" s="9" t="s">
        <v>153</v>
      </c>
      <c r="B115" s="9" t="s">
        <v>177</v>
      </c>
      <c r="C115" s="10" t="s">
        <v>29</v>
      </c>
      <c r="D115" s="11">
        <v>44492</v>
      </c>
      <c r="E115" s="12">
        <f t="shared" si="3"/>
        <v>10</v>
      </c>
      <c r="F115" s="12" t="s">
        <v>166</v>
      </c>
      <c r="G115" s="13">
        <f t="shared" si="5"/>
        <v>2021</v>
      </c>
      <c r="H115" s="19" t="s">
        <v>19</v>
      </c>
      <c r="I115" s="46">
        <v>23</v>
      </c>
      <c r="J115" s="22">
        <v>1169509</v>
      </c>
      <c r="K115" s="13" t="s">
        <v>20</v>
      </c>
      <c r="L115" s="17">
        <v>30</v>
      </c>
      <c r="M115" s="18" t="s">
        <v>21</v>
      </c>
      <c r="N115" s="18" t="s">
        <v>23</v>
      </c>
      <c r="O115" s="18" t="s">
        <v>23</v>
      </c>
      <c r="P115" s="18" t="s">
        <v>24</v>
      </c>
      <c r="Q115" s="19" t="s">
        <v>161</v>
      </c>
      <c r="R115" s="19" t="s">
        <v>162</v>
      </c>
      <c r="S115" s="49"/>
      <c r="T115" s="49"/>
    </row>
    <row r="116" spans="1:20" x14ac:dyDescent="0.25">
      <c r="A116" s="9" t="s">
        <v>154</v>
      </c>
      <c r="B116" s="9" t="s">
        <v>177</v>
      </c>
      <c r="C116" s="10" t="s">
        <v>33</v>
      </c>
      <c r="D116" s="11">
        <v>44462</v>
      </c>
      <c r="E116" s="12">
        <f t="shared" si="3"/>
        <v>9</v>
      </c>
      <c r="F116" s="12" t="s">
        <v>39</v>
      </c>
      <c r="G116" s="13">
        <f t="shared" si="5"/>
        <v>2021</v>
      </c>
      <c r="H116" s="19" t="s">
        <v>19</v>
      </c>
      <c r="I116" s="46">
        <v>5</v>
      </c>
      <c r="J116" s="35" t="s">
        <v>37</v>
      </c>
      <c r="K116" s="13" t="s">
        <v>20</v>
      </c>
      <c r="L116" s="17">
        <v>28</v>
      </c>
      <c r="M116" s="18" t="s">
        <v>21</v>
      </c>
      <c r="N116" s="18" t="s">
        <v>22</v>
      </c>
      <c r="O116" s="18" t="s">
        <v>23</v>
      </c>
      <c r="P116" s="18" t="s">
        <v>24</v>
      </c>
      <c r="Q116" s="18" t="s">
        <v>24</v>
      </c>
      <c r="R116" s="18" t="s">
        <v>24</v>
      </c>
      <c r="S116" s="49"/>
      <c r="T116" s="49"/>
    </row>
    <row r="117" spans="1:20" ht="24" x14ac:dyDescent="0.25">
      <c r="A117" s="9" t="s">
        <v>155</v>
      </c>
      <c r="B117" s="9" t="s">
        <v>177</v>
      </c>
      <c r="C117" s="10" t="s">
        <v>170</v>
      </c>
      <c r="D117" s="11">
        <v>43718</v>
      </c>
      <c r="E117" s="12">
        <f t="shared" si="3"/>
        <v>9</v>
      </c>
      <c r="F117" s="12" t="s">
        <v>39</v>
      </c>
      <c r="G117" s="13">
        <f t="shared" si="5"/>
        <v>2019</v>
      </c>
      <c r="H117" s="19" t="s">
        <v>19</v>
      </c>
      <c r="I117" s="46">
        <v>86</v>
      </c>
      <c r="J117" s="22">
        <v>1963178</v>
      </c>
      <c r="K117" s="13" t="s">
        <v>172</v>
      </c>
      <c r="L117" s="17">
        <v>30</v>
      </c>
      <c r="M117" s="18" t="s">
        <v>23</v>
      </c>
      <c r="N117" s="18" t="s">
        <v>22</v>
      </c>
      <c r="O117" s="18" t="s">
        <v>23</v>
      </c>
      <c r="P117" s="18" t="s">
        <v>24</v>
      </c>
      <c r="Q117" s="19" t="s">
        <v>161</v>
      </c>
      <c r="R117" s="19" t="s">
        <v>162</v>
      </c>
      <c r="S117" s="49"/>
      <c r="T117" s="49"/>
    </row>
    <row r="118" spans="1:20" x14ac:dyDescent="0.25">
      <c r="A118" s="9" t="s">
        <v>156</v>
      </c>
      <c r="B118" s="9" t="s">
        <v>177</v>
      </c>
      <c r="C118" s="28" t="s">
        <v>37</v>
      </c>
      <c r="D118" s="11">
        <v>41730</v>
      </c>
      <c r="E118" s="12">
        <f t="shared" si="3"/>
        <v>4</v>
      </c>
      <c r="F118" s="12" t="s">
        <v>31</v>
      </c>
      <c r="G118" s="13">
        <f t="shared" si="5"/>
        <v>2014</v>
      </c>
      <c r="H118" s="19" t="s">
        <v>171</v>
      </c>
      <c r="I118" s="48">
        <v>20</v>
      </c>
      <c r="J118" s="22">
        <v>1423500</v>
      </c>
      <c r="K118" s="13" t="s">
        <v>34</v>
      </c>
      <c r="L118" s="17">
        <v>30</v>
      </c>
      <c r="M118" s="18" t="s">
        <v>21</v>
      </c>
      <c r="N118" s="18" t="s">
        <v>22</v>
      </c>
      <c r="O118" s="18" t="s">
        <v>23</v>
      </c>
      <c r="P118" s="18" t="s">
        <v>24</v>
      </c>
      <c r="Q118" s="18" t="s">
        <v>24</v>
      </c>
      <c r="R118" s="18" t="s">
        <v>24</v>
      </c>
      <c r="S118" s="49"/>
      <c r="T118" s="49"/>
    </row>
    <row r="119" spans="1:20" x14ac:dyDescent="0.25">
      <c r="A119" s="9" t="s">
        <v>157</v>
      </c>
      <c r="B119" s="9" t="s">
        <v>177</v>
      </c>
      <c r="C119" s="10" t="s">
        <v>170</v>
      </c>
      <c r="D119" s="11">
        <v>42329</v>
      </c>
      <c r="E119" s="12">
        <f t="shared" si="3"/>
        <v>11</v>
      </c>
      <c r="F119" s="12" t="s">
        <v>164</v>
      </c>
      <c r="G119" s="13">
        <f t="shared" si="5"/>
        <v>2015</v>
      </c>
      <c r="H119" s="19" t="s">
        <v>171</v>
      </c>
      <c r="I119" s="45">
        <v>3</v>
      </c>
      <c r="J119" s="22">
        <v>1423500</v>
      </c>
      <c r="K119" s="13" t="s">
        <v>20</v>
      </c>
      <c r="L119" s="17">
        <v>30</v>
      </c>
      <c r="M119" s="18" t="s">
        <v>21</v>
      </c>
      <c r="N119" s="18" t="s">
        <v>22</v>
      </c>
      <c r="O119" s="18" t="s">
        <v>23</v>
      </c>
      <c r="P119" s="18" t="s">
        <v>24</v>
      </c>
      <c r="Q119" s="18" t="s">
        <v>24</v>
      </c>
      <c r="R119" s="18" t="s">
        <v>24</v>
      </c>
      <c r="S119" s="49"/>
      <c r="T119" s="49"/>
    </row>
    <row r="120" spans="1:20" ht="24" x14ac:dyDescent="0.25">
      <c r="A120" s="9" t="s">
        <v>158</v>
      </c>
      <c r="B120" s="9" t="s">
        <v>177</v>
      </c>
      <c r="C120" s="10" t="s">
        <v>170</v>
      </c>
      <c r="D120" s="11">
        <v>42980</v>
      </c>
      <c r="E120" s="12">
        <f t="shared" si="3"/>
        <v>9</v>
      </c>
      <c r="F120" s="12" t="s">
        <v>39</v>
      </c>
      <c r="G120" s="13">
        <f t="shared" si="5"/>
        <v>2017</v>
      </c>
      <c r="H120" s="19" t="s">
        <v>19</v>
      </c>
      <c r="I120" s="46">
        <v>26</v>
      </c>
      <c r="J120" s="22">
        <v>2395749</v>
      </c>
      <c r="K120" s="13" t="s">
        <v>20</v>
      </c>
      <c r="L120" s="17">
        <v>30</v>
      </c>
      <c r="M120" s="18" t="s">
        <v>23</v>
      </c>
      <c r="N120" s="18" t="s">
        <v>23</v>
      </c>
      <c r="O120" s="18" t="s">
        <v>23</v>
      </c>
      <c r="P120" s="18" t="s">
        <v>24</v>
      </c>
      <c r="Q120" s="18" t="s">
        <v>24</v>
      </c>
      <c r="R120" s="18" t="s">
        <v>24</v>
      </c>
      <c r="S120" s="49"/>
      <c r="T120" s="49"/>
    </row>
    <row r="121" spans="1:20" x14ac:dyDescent="0.25">
      <c r="A121" s="9" t="s">
        <v>159</v>
      </c>
      <c r="B121" s="9" t="s">
        <v>178</v>
      </c>
      <c r="C121" s="10" t="s">
        <v>170</v>
      </c>
      <c r="D121" s="26" t="s">
        <v>37</v>
      </c>
      <c r="E121" s="26" t="s">
        <v>37</v>
      </c>
      <c r="F121" s="26" t="s">
        <v>37</v>
      </c>
      <c r="G121" s="27" t="s">
        <v>37</v>
      </c>
      <c r="H121" s="39" t="s">
        <v>19</v>
      </c>
      <c r="I121" s="46">
        <v>10</v>
      </c>
      <c r="J121" s="26" t="s">
        <v>37</v>
      </c>
      <c r="K121" s="13" t="s">
        <v>172</v>
      </c>
      <c r="L121" s="17">
        <v>30</v>
      </c>
      <c r="M121" s="18" t="s">
        <v>21</v>
      </c>
      <c r="N121" s="18" t="s">
        <v>22</v>
      </c>
      <c r="O121" s="18" t="s">
        <v>23</v>
      </c>
      <c r="P121" s="18" t="s">
        <v>24</v>
      </c>
      <c r="Q121" s="18" t="s">
        <v>24</v>
      </c>
      <c r="R121" s="18" t="s">
        <v>24</v>
      </c>
      <c r="S121" s="49"/>
      <c r="T121" s="49"/>
    </row>
    <row r="122" spans="1:20" x14ac:dyDescent="0.25">
      <c r="A122" s="9" t="s">
        <v>160</v>
      </c>
      <c r="B122" s="9" t="s">
        <v>179</v>
      </c>
      <c r="C122" s="10" t="s">
        <v>170</v>
      </c>
      <c r="D122" s="26" t="s">
        <v>37</v>
      </c>
      <c r="E122" s="26" t="s">
        <v>37</v>
      </c>
      <c r="F122" s="26" t="s">
        <v>37</v>
      </c>
      <c r="G122" s="27" t="s">
        <v>37</v>
      </c>
      <c r="H122" s="39" t="s">
        <v>19</v>
      </c>
      <c r="I122" s="46">
        <v>10</v>
      </c>
      <c r="J122" s="26" t="s">
        <v>37</v>
      </c>
      <c r="K122" s="13" t="s">
        <v>172</v>
      </c>
      <c r="L122" s="17">
        <v>30</v>
      </c>
      <c r="M122" s="18" t="s">
        <v>21</v>
      </c>
      <c r="N122" s="18" t="s">
        <v>22</v>
      </c>
      <c r="O122" s="18" t="s">
        <v>23</v>
      </c>
      <c r="P122" s="18" t="s">
        <v>24</v>
      </c>
      <c r="Q122" s="18" t="s">
        <v>24</v>
      </c>
      <c r="R122" s="18" t="s">
        <v>24</v>
      </c>
      <c r="S122" s="49"/>
      <c r="T122" s="49"/>
    </row>
  </sheetData>
  <autoFilter ref="A1:W1" xr:uid="{F18212E3-2637-41D7-91D9-26EC56F01EC6}"/>
  <phoneticPr fontId="6" type="noConversion"/>
  <conditionalFormatting sqref="D25:R25 D87:H87 D107:H107 C108 C118 D121:H122">
    <cfRule type="cellIs" dxfId="2" priority="15" operator="equal">
      <formula>"Si"</formula>
    </cfRule>
  </conditionalFormatting>
  <conditionalFormatting sqref="I101">
    <cfRule type="cellIs" dxfId="1" priority="14" operator="equal">
      <formula>"Si"</formula>
    </cfRule>
  </conditionalFormatting>
  <conditionalFormatting sqref="J121:J122">
    <cfRule type="cellIs" dxfId="0" priority="13" operator="equal">
      <formula>"Si"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Yuranis Isabel Muñoz Marin</dc:creator>
  <cp:lastModifiedBy>Yuranis Isabel Muñoz Marin</cp:lastModifiedBy>
  <dcterms:created xsi:type="dcterms:W3CDTF">2025-11-16T04:58:07Z</dcterms:created>
  <dcterms:modified xsi:type="dcterms:W3CDTF">2025-11-29T19:31:13Z</dcterms:modified>
</cp:coreProperties>
</file>